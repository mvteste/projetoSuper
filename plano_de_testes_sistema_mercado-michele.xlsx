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o de Testes" sheetId="1" state="visible" r:id="rId3"/>
    <sheet name="Resumo" sheetId="2" state="visible" r:id="rId4"/>
  </sheets>
  <definedNames>
    <definedName function="false" hidden="true" localSheetId="0" name="_xlnm._FilterDatabase" vbProcedure="false">'Plano de Testes'!$A$1:$L$47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<sst xmlns="http://schemas.openxmlformats.org/spreadsheetml/2006/main" count="488" uniqueCount="316">
  <si>
    <t xml:space="preserve">ID</t>
  </si>
  <si>
    <t xml:space="preserve">Módulo</t>
  </si>
  <si>
    <t xml:space="preserve">Funcionalidade</t>
  </si>
  <si>
    <t xml:space="preserve">Caso de Teste</t>
  </si>
  <si>
    <t xml:space="preserve">Pré-condições</t>
  </si>
  <si>
    <t xml:space="preserve">Passos</t>
  </si>
  <si>
    <t xml:space="preserve">Dados de Entrada</t>
  </si>
  <si>
    <t xml:space="preserve">Resultado Esperado</t>
  </si>
  <si>
    <t xml:space="preserve">Resultado Obtido</t>
  </si>
  <si>
    <t xml:space="preserve">Status</t>
  </si>
  <si>
    <t xml:space="preserve">Prioridade</t>
  </si>
  <si>
    <t xml:space="preserve">Observações</t>
  </si>
  <si>
    <t xml:space="preserve">CT001</t>
  </si>
  <si>
    <t xml:space="preserve">Categoria</t>
  </si>
  <si>
    <t xml:space="preserve">Cadastrar</t>
  </si>
  <si>
    <t xml:space="preserve">Incluir categoria com dados válidos</t>
  </si>
  <si>
    <t xml:space="preserve">Sistema conectado ao banco</t>
  </si>
  <si>
    <t xml:space="preserve">1. Abrir tela Categoria
2. Preencher nome
3. Clicar em Salvar</t>
  </si>
  <si>
    <t xml:space="preserve">Nome: 'Bebidas'</t>
  </si>
  <si>
    <t xml:space="preserve">Categoria é salva e aparece na listagem</t>
  </si>
  <si>
    <t xml:space="preserve">Não testado</t>
  </si>
  <si>
    <t xml:space="preserve">Alta</t>
  </si>
  <si>
    <t xml:space="preserve">CT002</t>
  </si>
  <si>
    <t xml:space="preserve">Incluir categoria com nome em branco</t>
  </si>
  <si>
    <t xml:space="preserve">1. Abrir tela Categoria
2. Deixar nome vazio
3. Clicar em Salvar</t>
  </si>
  <si>
    <t xml:space="preserve">Nome: ''</t>
  </si>
  <si>
    <t xml:space="preserve">Sistema exibe mensagem de validação e não salva</t>
  </si>
  <si>
    <t xml:space="preserve">CT003</t>
  </si>
  <si>
    <t xml:space="preserve">Editar</t>
  </si>
  <si>
    <t xml:space="preserve">Alterar nome de categoria existente</t>
  </si>
  <si>
    <t xml:space="preserve">Categoria previamente cadastrada</t>
  </si>
  <si>
    <t xml:space="preserve">1. Selecionar categoria na lista
2. Alterar nome
3. Salvar</t>
  </si>
  <si>
    <t xml:space="preserve">Nome novo: 'Laticínios'</t>
  </si>
  <si>
    <t xml:space="preserve">Registro é atualizado no banco e na listagem</t>
  </si>
  <si>
    <t xml:space="preserve">Média</t>
  </si>
  <si>
    <t xml:space="preserve">CT004</t>
  </si>
  <si>
    <t xml:space="preserve">Excluir</t>
  </si>
  <si>
    <t xml:space="preserve">Excluir categoria sem produtos vinculados</t>
  </si>
  <si>
    <t xml:space="preserve">Categoria sem produtos associados</t>
  </si>
  <si>
    <t xml:space="preserve">1. Selecionar categoria
2. Clicar em Excluir
3. Confirmar</t>
  </si>
  <si>
    <t xml:space="preserve">-</t>
  </si>
  <si>
    <t xml:space="preserve">Categoria removida do banco e da listagem</t>
  </si>
  <si>
    <t xml:space="preserve">CT005</t>
  </si>
  <si>
    <t xml:space="preserve">Excluir categoria com produtos vinculados</t>
  </si>
  <si>
    <t xml:space="preserve">Categoria associada a 1+ produto</t>
  </si>
  <si>
    <t xml:space="preserve">1. Selecionar categoria
2. Clicar em Excluir</t>
  </si>
  <si>
    <t xml:space="preserve">Sistema impede exclusão e exibe mensagem de integridade referencial</t>
  </si>
  <si>
    <t xml:space="preserve">CT006</t>
  </si>
  <si>
    <t xml:space="preserve">Listar</t>
  </si>
  <si>
    <t xml:space="preserve">Listar todas as categorias cadastradas</t>
  </si>
  <si>
    <t xml:space="preserve">Existem categorias no banco</t>
  </si>
  <si>
    <t xml:space="preserve">1. Abrir tela Categoria</t>
  </si>
  <si>
    <t xml:space="preserve">Grid exibe todas as categorias corretamente</t>
  </si>
  <si>
    <t xml:space="preserve">Baixa</t>
  </si>
  <si>
    <t xml:space="preserve">CT007</t>
  </si>
  <si>
    <t xml:space="preserve">Cliente</t>
  </si>
  <si>
    <t xml:space="preserve">Incluir cliente com dados válidos</t>
  </si>
  <si>
    <t xml:space="preserve">1. Abrir tela Cliente
2. Preencher nome, CPF, telefone
3. Salvar</t>
  </si>
  <si>
    <t xml:space="preserve">Nome: 'João Silva'; CPF: 123.456.789-00</t>
  </si>
  <si>
    <t xml:space="preserve">Cliente salvo e listado corretamente</t>
  </si>
  <si>
    <t xml:space="preserve">CT008</t>
  </si>
  <si>
    <t xml:space="preserve">Incluir cliente com CPF inválido</t>
  </si>
  <si>
    <t xml:space="preserve">1. Abrir tela Cliente
2. Informar CPF inválido
3. Salvar</t>
  </si>
  <si>
    <t xml:space="preserve">CPF: '111'</t>
  </si>
  <si>
    <t xml:space="preserve">Sistema rejeita e exibe mensagem de erro</t>
  </si>
  <si>
    <t xml:space="preserve">CT009</t>
  </si>
  <si>
    <t xml:space="preserve">Incluir cliente com CPF duplicado</t>
  </si>
  <si>
    <t xml:space="preserve">Já existe cliente com o mesmo CPF</t>
  </si>
  <si>
    <t xml:space="preserve">1. Cadastrar novo cliente com CPF já existente
2. Salvar</t>
  </si>
  <si>
    <t xml:space="preserve">CPF já cadastrado</t>
  </si>
  <si>
    <t xml:space="preserve">Sistema impede duplicidade e informa o usuário</t>
  </si>
  <si>
    <t xml:space="preserve">CT010</t>
  </si>
  <si>
    <t xml:space="preserve">Alterar dados cadastrais do cliente</t>
  </si>
  <si>
    <t xml:space="preserve">Cliente previamente cadastrado</t>
  </si>
  <si>
    <t xml:space="preserve">1. Selecionar cliente
2. Alterar telefone
3. Salvar</t>
  </si>
  <si>
    <t xml:space="preserve">Telefone novo</t>
  </si>
  <si>
    <t xml:space="preserve">Dados atualizados no banco</t>
  </si>
  <si>
    <t xml:space="preserve">CT011</t>
  </si>
  <si>
    <t xml:space="preserve">Excluir cliente sem histórico de vendas</t>
  </si>
  <si>
    <t xml:space="preserve">Cliente sem vendas associadas</t>
  </si>
  <si>
    <t xml:space="preserve">1. Selecionar cliente
2. Excluir
3. Confirmar</t>
  </si>
  <si>
    <t xml:space="preserve">Cliente removido com sucesso</t>
  </si>
  <si>
    <t xml:space="preserve">CT012</t>
  </si>
  <si>
    <t xml:space="preserve">Buscar</t>
  </si>
  <si>
    <t xml:space="preserve">Pesquisar cliente por nome parcial</t>
  </si>
  <si>
    <t xml:space="preserve">Existem clientes cadastrados</t>
  </si>
  <si>
    <t xml:space="preserve">1. Digitar parte do nome no campo de busca</t>
  </si>
  <si>
    <t xml:space="preserve">Texto: 'Jo'</t>
  </si>
  <si>
    <t xml:space="preserve">Lista filtra e exibe apenas clientes correspondentes</t>
  </si>
  <si>
    <t xml:space="preserve">CT013</t>
  </si>
  <si>
    <t xml:space="preserve">Fornecedor</t>
  </si>
  <si>
    <t xml:space="preserve">Incluir fornecedor com dados válidos</t>
  </si>
  <si>
    <t xml:space="preserve">1. Abrir tela Fornecedor
2. Preencher CNPJ, razão social
3. Salvar</t>
  </si>
  <si>
    <t xml:space="preserve">CNPJ válido</t>
  </si>
  <si>
    <t xml:space="preserve">Fornecedor salvo e listado</t>
  </si>
  <si>
    <t xml:space="preserve">CT014</t>
  </si>
  <si>
    <t xml:space="preserve">Incluir fornecedor com CNPJ inválido</t>
  </si>
  <si>
    <t xml:space="preserve">1. Informar CNPJ com formato incorreto
2. Salvar</t>
  </si>
  <si>
    <t xml:space="preserve">CNPJ: '000'</t>
  </si>
  <si>
    <t xml:space="preserve">Sistema rejeita o cadastro</t>
  </si>
  <si>
    <t xml:space="preserve">CT015</t>
  </si>
  <si>
    <t xml:space="preserve">Atualizar dados de contato do fornecedor</t>
  </si>
  <si>
    <t xml:space="preserve">Fornecedor previamente cadastrado</t>
  </si>
  <si>
    <t xml:space="preserve">1. Selecionar fornecedor
2. Alterar telefone/e-mail
3. Salvar</t>
  </si>
  <si>
    <t xml:space="preserve">Dados novos de contato</t>
  </si>
  <si>
    <t xml:space="preserve">Registro atualizado corretamente</t>
  </si>
  <si>
    <t xml:space="preserve">CT016</t>
  </si>
  <si>
    <t xml:space="preserve">Excluir fornecedor vinculado a compras</t>
  </si>
  <si>
    <t xml:space="preserve">Fornecedor com compras registradas</t>
  </si>
  <si>
    <t xml:space="preserve">1. Selecionar fornecedor
2. Excluir</t>
  </si>
  <si>
    <t xml:space="preserve">Sistema impede exclusão por integridade referencial</t>
  </si>
  <si>
    <t xml:space="preserve">CT017</t>
  </si>
  <si>
    <t xml:space="preserve">Produto</t>
  </si>
  <si>
    <t xml:space="preserve">Incluir produto com categoria e fornecedor válidos</t>
  </si>
  <si>
    <t xml:space="preserve">Categoria e Fornecedor cadastrados</t>
  </si>
  <si>
    <t xml:space="preserve">1. Abrir tela Produto
2. Preencher nome, preço, categoria, fornecedor
3. Salvar</t>
  </si>
  <si>
    <t xml:space="preserve">Nome: 'Arroz 5kg'; Preço: 25.90</t>
  </si>
  <si>
    <t xml:space="preserve">Produto salvo e vinculado corretamente</t>
  </si>
  <si>
    <t xml:space="preserve">CT018</t>
  </si>
  <si>
    <t xml:space="preserve">Incluir produto com preço negativo</t>
  </si>
  <si>
    <t xml:space="preserve">1. Informar preço negativo
2. Salvar</t>
  </si>
  <si>
    <t xml:space="preserve">Preço: -10</t>
  </si>
  <si>
    <t xml:space="preserve">Sistema rejeita valor inválido</t>
  </si>
  <si>
    <t xml:space="preserve">CT019</t>
  </si>
  <si>
    <t xml:space="preserve">Alterar preço de produto existente</t>
  </si>
  <si>
    <t xml:space="preserve">Produto previamente cadastrado</t>
  </si>
  <si>
    <t xml:space="preserve">1. Selecionar produto
2. Alterar preço
3. Salvar</t>
  </si>
  <si>
    <t xml:space="preserve">Preço novo</t>
  </si>
  <si>
    <t xml:space="preserve">Preço atualizado no banco e refletido em vendas futuras</t>
  </si>
  <si>
    <t xml:space="preserve">CT020</t>
  </si>
  <si>
    <t xml:space="preserve">Excluir produto com movimentação de estoque</t>
  </si>
  <si>
    <t xml:space="preserve">Produto com entradas/saídas registradas</t>
  </si>
  <si>
    <t xml:space="preserve">1. Selecionar produto
2. Excluir</t>
  </si>
  <si>
    <t xml:space="preserve">Sistema impede exclusão ou solicita confirmação adicional</t>
  </si>
  <si>
    <t xml:space="preserve">CT021</t>
  </si>
  <si>
    <t xml:space="preserve">Listar produtos com estoque abaixo do mínimo</t>
  </si>
  <si>
    <t xml:space="preserve">Produtos com quantidade baixa cadastrados</t>
  </si>
  <si>
    <t xml:space="preserve">1. Abrir relatório/listagem de produtos</t>
  </si>
  <si>
    <t xml:space="preserve">Produtos com estoque baixo são destacados ou filtrados</t>
  </si>
  <si>
    <t xml:space="preserve">CT022</t>
  </si>
  <si>
    <t xml:space="preserve">Estoque</t>
  </si>
  <si>
    <t xml:space="preserve">Entrada</t>
  </si>
  <si>
    <t xml:space="preserve">Registrar entrada de produto no estoque</t>
  </si>
  <si>
    <t xml:space="preserve">Produto cadastrado</t>
  </si>
  <si>
    <t xml:space="preserve">1. Abrir tela Estoque
2. Selecionar produto
3. Informar quantidade de entrada
4. Salvar</t>
  </si>
  <si>
    <t xml:space="preserve">Quantidade: 50</t>
  </si>
  <si>
    <t xml:space="preserve">Quantidade em estoque é incrementada corretamente</t>
  </si>
  <si>
    <t xml:space="preserve">CT023</t>
  </si>
  <si>
    <t xml:space="preserve">Saída</t>
  </si>
  <si>
    <t xml:space="preserve">Registrar saída de produto por venda</t>
  </si>
  <si>
    <t xml:space="preserve">Produto com estoque disponível</t>
  </si>
  <si>
    <t xml:space="preserve">1. Realizar venda do produto</t>
  </si>
  <si>
    <t xml:space="preserve">Quantidade vendida: 5</t>
  </si>
  <si>
    <t xml:space="preserve">Estoque é decrementado automaticamente</t>
  </si>
  <si>
    <t xml:space="preserve">CT024</t>
  </si>
  <si>
    <t xml:space="preserve">Tentar saída maior que o estoque disponível</t>
  </si>
  <si>
    <t xml:space="preserve">Estoque atual do produto conhecido</t>
  </si>
  <si>
    <t xml:space="preserve">1. Tentar registrar saída maior que a quantidade disponível</t>
  </si>
  <si>
    <t xml:space="preserve">Quantidade: acima do saldo</t>
  </si>
  <si>
    <t xml:space="preserve">Sistema impede a operação e exibe mensagem de estoque insuficiente</t>
  </si>
  <si>
    <t xml:space="preserve">CT025</t>
  </si>
  <si>
    <t xml:space="preserve">Consultar</t>
  </si>
  <si>
    <t xml:space="preserve">Consultar saldo atual de um produto</t>
  </si>
  <si>
    <t xml:space="preserve">Produto com movimentações registradas</t>
  </si>
  <si>
    <t xml:space="preserve">1. Abrir consulta de estoque
2. Selecionar produto</t>
  </si>
  <si>
    <t xml:space="preserve">Saldo exibido corresponde à soma de entradas menos saídas</t>
  </si>
  <si>
    <t xml:space="preserve">CT026</t>
  </si>
  <si>
    <t xml:space="preserve">Funcionário</t>
  </si>
  <si>
    <t xml:space="preserve">Incluir funcionário vinculado a um tipo/cargo</t>
  </si>
  <si>
    <t xml:space="preserve">Tipo de funcionário cadastrado</t>
  </si>
  <si>
    <t xml:space="preserve">1. Abrir tela Funcionário
2. Preencher dados e selecionar tipo
3. Salvar</t>
  </si>
  <si>
    <t xml:space="preserve">Nome, CPF, tipo de funcionário</t>
  </si>
  <si>
    <t xml:space="preserve">Funcionário salvo com tipo corretamente associado</t>
  </si>
  <si>
    <t xml:space="preserve">CT027</t>
  </si>
  <si>
    <t xml:space="preserve">Alterar tipo/cargo de um funcionário</t>
  </si>
  <si>
    <t xml:space="preserve">Funcionário previamente cadastrado</t>
  </si>
  <si>
    <t xml:space="preserve">1. Selecionar funcionário
2. Alterar tipo
3. Salvar</t>
  </si>
  <si>
    <t xml:space="preserve">Novo tipo de funcionário</t>
  </si>
  <si>
    <t xml:space="preserve">Alteração refletida no cadastro e em cálculos de salário</t>
  </si>
  <si>
    <t xml:space="preserve">CT028</t>
  </si>
  <si>
    <t xml:space="preserve">Tipo Funcionário</t>
  </si>
  <si>
    <t xml:space="preserve">Incluir novo tipo de funcionário</t>
  </si>
  <si>
    <t xml:space="preserve">1. Abrir tela Tipo Funcionário
2. Preencher descrição
3. Salvar</t>
  </si>
  <si>
    <t xml:space="preserve">Descrição: 'Caixa'</t>
  </si>
  <si>
    <t xml:space="preserve">Tipo salvo e disponível para seleção em Funcionário</t>
  </si>
  <si>
    <t xml:space="preserve">CT029</t>
  </si>
  <si>
    <t xml:space="preserve">Salário</t>
  </si>
  <si>
    <t xml:space="preserve">Calcular</t>
  </si>
  <si>
    <t xml:space="preserve">Gerar/registrar salário de um funcionário</t>
  </si>
  <si>
    <t xml:space="preserve">Funcionário cadastrado com tipo definido</t>
  </si>
  <si>
    <t xml:space="preserve">1. Abrir tela Salário
2. Selecionar funcionário
3. Informar valores
4. Salvar</t>
  </si>
  <si>
    <t xml:space="preserve">Valor base + descontos</t>
  </si>
  <si>
    <t xml:space="preserve">Salário registrado com valor líquido correto</t>
  </si>
  <si>
    <t xml:space="preserve">CT030</t>
  </si>
  <si>
    <t xml:space="preserve">Consultar histórico de salários de um funcionário</t>
  </si>
  <si>
    <t xml:space="preserve">Funcionário com registros de salário</t>
  </si>
  <si>
    <t xml:space="preserve">1. Selecionar funcionário
2. Abrir histórico</t>
  </si>
  <si>
    <t xml:space="preserve">Lista exibe todos os pagamentos com valores corretos</t>
  </si>
  <si>
    <t xml:space="preserve">CT031</t>
  </si>
  <si>
    <t xml:space="preserve">Vendas</t>
  </si>
  <si>
    <t xml:space="preserve">Registrar</t>
  </si>
  <si>
    <t xml:space="preserve">Realizar venda com um ou mais produtos</t>
  </si>
  <si>
    <t xml:space="preserve">Produtos com estoque disponível</t>
  </si>
  <si>
    <t xml:space="preserve">1. Abrir tela Vendas
2. Selecionar cliente
3. Adicionar produtos
4. Finalizar venda</t>
  </si>
  <si>
    <t xml:space="preserve">1 cliente, 2 produtos</t>
  </si>
  <si>
    <t xml:space="preserve">Venda registrada, total calculado corretamente e estoque atualizado</t>
  </si>
  <si>
    <t xml:space="preserve">CT032</t>
  </si>
  <si>
    <t xml:space="preserve">Tentar vender produto sem estoque suficiente</t>
  </si>
  <si>
    <t xml:space="preserve">Produto com estoque zerado ou insuficiente</t>
  </si>
  <si>
    <t xml:space="preserve">1. Adicionar produto sem estoque à venda
2. Finalizar</t>
  </si>
  <si>
    <t xml:space="preserve">Quantidade acima do estoque</t>
  </si>
  <si>
    <t xml:space="preserve">Sistema bloqueia a venda e informa o motivo</t>
  </si>
  <si>
    <t xml:space="preserve">CT033</t>
  </si>
  <si>
    <t xml:space="preserve">Cancelar</t>
  </si>
  <si>
    <t xml:space="preserve">Cancelar uma venda já registrada</t>
  </si>
  <si>
    <t xml:space="preserve">Venda previamente registrada</t>
  </si>
  <si>
    <t xml:space="preserve">1. Selecionar venda
2. Cancelar</t>
  </si>
  <si>
    <t xml:space="preserve">Venda é estornada e estoque/contas a receber são ajustados</t>
  </si>
  <si>
    <t xml:space="preserve">CT034</t>
  </si>
  <si>
    <t xml:space="preserve">Consultar vendas por período</t>
  </si>
  <si>
    <t xml:space="preserve">Existem vendas registradas em datas distintas</t>
  </si>
  <si>
    <t xml:space="preserve">1. Informar intervalo de datas
2. Consultar</t>
  </si>
  <si>
    <t xml:space="preserve">Data inicial e final</t>
  </si>
  <si>
    <t xml:space="preserve">Lista exibe apenas vendas dentro do período informado</t>
  </si>
  <si>
    <t xml:space="preserve">CT035</t>
  </si>
  <si>
    <t xml:space="preserve">Compra</t>
  </si>
  <si>
    <t xml:space="preserve">Registrar compra de produtos de um fornecedor</t>
  </si>
  <si>
    <t xml:space="preserve">Fornecedor e produtos cadastrados</t>
  </si>
  <si>
    <t xml:space="preserve">1. Abrir tela Compra
2. Selecionar fornecedor
3. Adicionar produtos
4. Finalizar</t>
  </si>
  <si>
    <t xml:space="preserve">1 fornecedor, produtos e quantidades</t>
  </si>
  <si>
    <t xml:space="preserve">Compra registrada e estoque incrementado</t>
  </si>
  <si>
    <t xml:space="preserve">CT036</t>
  </si>
  <si>
    <t xml:space="preserve">Consultar compras por fornecedor</t>
  </si>
  <si>
    <t xml:space="preserve">Existem compras registradas</t>
  </si>
  <si>
    <t xml:space="preserve">1. Filtrar por fornecedor</t>
  </si>
  <si>
    <t xml:space="preserve">Fornecedor selecionado</t>
  </si>
  <si>
    <t xml:space="preserve">Lista exibe apenas compras do fornecedor selecionado</t>
  </si>
  <si>
    <t xml:space="preserve">CT037</t>
  </si>
  <si>
    <t xml:space="preserve">Contas a Pagar</t>
  </si>
  <si>
    <t xml:space="preserve">Gerar conta a pagar a partir de uma compra</t>
  </si>
  <si>
    <t xml:space="preserve">Compra registrada</t>
  </si>
  <si>
    <t xml:space="preserve">1. Finalizar uma compra a prazo</t>
  </si>
  <si>
    <t xml:space="preserve">Conta a pagar é criada automaticamente com valor e vencimento corretos</t>
  </si>
  <si>
    <t xml:space="preserve">CT038</t>
  </si>
  <si>
    <t xml:space="preserve">Baixar</t>
  </si>
  <si>
    <t xml:space="preserve">Registrar pagamento de uma conta a pagar</t>
  </si>
  <si>
    <t xml:space="preserve">Conta a pagar em aberto</t>
  </si>
  <si>
    <t xml:space="preserve">1. Selecionar conta
2. Registrar pagamento</t>
  </si>
  <si>
    <t xml:space="preserve">Valor pago</t>
  </si>
  <si>
    <t xml:space="preserve">Status da conta muda para 'paga' e valor é refletido no caixa</t>
  </si>
  <si>
    <t xml:space="preserve">CT039</t>
  </si>
  <si>
    <t xml:space="preserve">Contas a Receber</t>
  </si>
  <si>
    <t xml:space="preserve">Gerar conta a receber a partir de uma venda a prazo</t>
  </si>
  <si>
    <t xml:space="preserve">Venda a prazo registrada</t>
  </si>
  <si>
    <t xml:space="preserve">1. Finalizar uma venda a prazo</t>
  </si>
  <si>
    <t xml:space="preserve">Conta a receber criada com valor e vencimento corretos</t>
  </si>
  <si>
    <t xml:space="preserve">CT040</t>
  </si>
  <si>
    <t xml:space="preserve">Registrar recebimento de uma conta a receber</t>
  </si>
  <si>
    <t xml:space="preserve">Conta a receber em aberto</t>
  </si>
  <si>
    <t xml:space="preserve">1. Selecionar conta
2. Registrar recebimento</t>
  </si>
  <si>
    <t xml:space="preserve">Valor recebido</t>
  </si>
  <si>
    <t xml:space="preserve">Status muda para 'recebida' e valor é refletido no caixa</t>
  </si>
  <si>
    <t xml:space="preserve">CT041</t>
  </si>
  <si>
    <t xml:space="preserve">Consultar contas vencidas e em atraso</t>
  </si>
  <si>
    <t xml:space="preserve">Existem contas com vencimento passado</t>
  </si>
  <si>
    <t xml:space="preserve">1. Abrir listagem
2. Filtrar por vencidas</t>
  </si>
  <si>
    <t xml:space="preserve">Sistema destaca corretamente as contas em atraso</t>
  </si>
  <si>
    <t xml:space="preserve">CT042</t>
  </si>
  <si>
    <t xml:space="preserve">Caixa</t>
  </si>
  <si>
    <t xml:space="preserve">Abrir</t>
  </si>
  <si>
    <t xml:space="preserve">Abrir caixa no início do expediente</t>
  </si>
  <si>
    <t xml:space="preserve">Caixa fechado no dia anterior</t>
  </si>
  <si>
    <t xml:space="preserve">1. Abrir tela Caixa
2. Informar valor inicial
3. Confirmar</t>
  </si>
  <si>
    <t xml:space="preserve">Valor inicial: R$100,00</t>
  </si>
  <si>
    <t xml:space="preserve">Caixa é aberto com saldo inicial correto</t>
  </si>
  <si>
    <t xml:space="preserve">CT043</t>
  </si>
  <si>
    <t xml:space="preserve">Movimentar</t>
  </si>
  <si>
    <t xml:space="preserve">Registrar entrada/saída manual no caixa</t>
  </si>
  <si>
    <t xml:space="preserve">Caixa aberto</t>
  </si>
  <si>
    <t xml:space="preserve">1. Registrar lançamento manual</t>
  </si>
  <si>
    <t xml:space="preserve">Valor e tipo de movimento</t>
  </si>
  <si>
    <t xml:space="preserve">Saldo do caixa é atualizado corretamente</t>
  </si>
  <si>
    <t xml:space="preserve">CT044</t>
  </si>
  <si>
    <t xml:space="preserve">Fechar</t>
  </si>
  <si>
    <t xml:space="preserve">Fechar caixa ao final do expediente</t>
  </si>
  <si>
    <t xml:space="preserve">Caixa aberto com movimentações do dia</t>
  </si>
  <si>
    <t xml:space="preserve">1. Abrir tela Caixa
2. Conferir valores
3. Fechar caixa</t>
  </si>
  <si>
    <t xml:space="preserve">Saldo final corresponde à soma de entradas e saídas do dia</t>
  </si>
  <si>
    <t xml:space="preserve">CT045</t>
  </si>
  <si>
    <t xml:space="preserve">Geral</t>
  </si>
  <si>
    <t xml:space="preserve">Conexão</t>
  </si>
  <si>
    <t xml:space="preserve">Validar conexão com o banco de dados (conexao.java)</t>
  </si>
  <si>
    <t xml:space="preserve">Banco MySQL disponível</t>
  </si>
  <si>
    <t xml:space="preserve">1. Iniciar aplicação</t>
  </si>
  <si>
    <t xml:space="preserve">Conexão é estabelecida sem erros e telas carregam os dados</t>
  </si>
  <si>
    <t xml:space="preserve">CT046</t>
  </si>
  <si>
    <t xml:space="preserve">Integração</t>
  </si>
  <si>
    <t xml:space="preserve">Validar GenericDAO com operações de CRUD comuns</t>
  </si>
  <si>
    <t xml:space="preserve">DAOs específicos herdando de GenericDao</t>
  </si>
  <si>
    <t xml:space="preserve">1. Executar incluir/alterar/excluir/listar em diferentes entidades</t>
  </si>
  <si>
    <t xml:space="preserve">Métodos genéricos funcionam corretamente para todas as entidades</t>
  </si>
  <si>
    <t xml:space="preserve">Plano de Testes</t>
  </si>
  <si>
    <t xml:space="preserve">Sistema de Mercado (Java/Swing/MySQL - MVC)</t>
  </si>
  <si>
    <t xml:space="preserve">Total de casos de teste</t>
  </si>
  <si>
    <t xml:space="preserve">Casos que passaram</t>
  </si>
  <si>
    <t xml:space="preserve">Casos que falharam</t>
  </si>
  <si>
    <t xml:space="preserve">Casos bloqueados</t>
  </si>
  <si>
    <t xml:space="preserve">Casos não testados</t>
  </si>
  <si>
    <t xml:space="preserve">Legenda de Status</t>
  </si>
  <si>
    <t xml:space="preserve">Caso ainda não foi executado</t>
  </si>
  <si>
    <t xml:space="preserve">Passou</t>
  </si>
  <si>
    <t xml:space="preserve">Resultado obtido igual ao esperado</t>
  </si>
  <si>
    <t xml:space="preserve">Falhou</t>
  </si>
  <si>
    <t xml:space="preserve">Resultado obtido diferente do esperado</t>
  </si>
  <si>
    <t xml:space="preserve">Bloqueado</t>
  </si>
  <si>
    <t xml:space="preserve">Não foi possível executar (dependência/ambiente)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</si>
</sst>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2E5B3E"/>
        <bgColor rgb="FF3333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2E5B3E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E5B3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6"/>
    <col collapsed="false" customWidth="true" hidden="false" outlineLevel="0" max="3" min="3" style="0" width="14"/>
    <col collapsed="false" customWidth="true" hidden="false" outlineLevel="0" max="4" min="4" style="0" width="32"/>
    <col collapsed="false" customWidth="true" hidden="false" outlineLevel="0" max="5" min="5" style="0" width="26"/>
    <col collapsed="false" customWidth="true" hidden="false" outlineLevel="0" max="6" min="6" style="0" width="30"/>
    <col collapsed="false" customWidth="true" hidden="false" outlineLevel="0" max="7" min="7" style="0" width="22"/>
    <col collapsed="false" customWidth="true" hidden="false" outlineLevel="0" max="8" min="8" style="0" width="34"/>
    <col collapsed="false" customWidth="true" hidden="false" outlineLevel="0" max="9" min="9" style="0" width="22"/>
    <col collapsed="false" customWidth="true" hidden="false" outlineLevel="0" max="10" min="10" style="0" width="14"/>
    <col collapsed="false" customWidth="true" hidden="false" outlineLevel="0" max="11" min="11" style="0" width="12"/>
    <col collapsed="false" customWidth="true" hidden="false" outlineLevel="0" max="12" min="12" style="0" width="24"/>
  </cols>
  <sheetData>
    <row r="1" customFormat="false" ht="23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60" hidden="false" customHeight="true" outlineLevel="0" collapsed="false">
      <c r="A2" s="2" t="s">
        <v>12</v>
      </c>
      <c r="B2" s="3" t="s">
        <v>13</v>
      </c>
      <c r="C2" s="3" t="s">
        <v>14</v>
      </c>
      <c r="D2" s="3" t="s">
        <v>15</v>
      </c>
      <c r="E2" s="3" t="s">
        <v>16</v>
      </c>
      <c r="F2" s="3" t="s">
        <v>17</v>
      </c>
      <c r="G2" s="3" t="s">
        <v>18</v>
      </c>
      <c r="H2" s="3" t="s">
        <v>19</v>
      </c>
      <c r="I2" s="3"/>
      <c r="J2" s="2" t="s">
        <v>20</v>
      </c>
      <c r="K2" s="2" t="s">
        <v>21</v>
      </c>
      <c r="L2" s="3"/>
    </row>
    <row r="3" customFormat="false" ht="60" hidden="false" customHeight="true" outlineLevel="0" collapsed="false">
      <c r="A3" s="2" t="s">
        <v>22</v>
      </c>
      <c r="B3" s="3" t="s">
        <v>13</v>
      </c>
      <c r="C3" s="3" t="s">
        <v>14</v>
      </c>
      <c r="D3" s="3" t="s">
        <v>23</v>
      </c>
      <c r="E3" s="3" t="s">
        <v>16</v>
      </c>
      <c r="F3" s="3" t="s">
        <v>24</v>
      </c>
      <c r="G3" s="3" t="s">
        <v>25</v>
      </c>
      <c r="H3" s="3" t="s">
        <v>26</v>
      </c>
      <c r="I3" s="3"/>
      <c r="J3" s="2" t="s">
        <v>20</v>
      </c>
      <c r="K3" s="2" t="s">
        <v>21</v>
      </c>
      <c r="L3" s="3"/>
    </row>
    <row r="4" customFormat="false" ht="60" hidden="false" customHeight="true" outlineLevel="0" collapsed="false">
      <c r="A4" s="2" t="s">
        <v>27</v>
      </c>
      <c r="B4" s="3" t="s">
        <v>13</v>
      </c>
      <c r="C4" s="3" t="s">
        <v>28</v>
      </c>
      <c r="D4" s="3" t="s">
        <v>29</v>
      </c>
      <c r="E4" s="3" t="s">
        <v>30</v>
      </c>
      <c r="F4" s="3" t="s">
        <v>31</v>
      </c>
      <c r="G4" s="3" t="s">
        <v>32</v>
      </c>
      <c r="H4" s="3" t="s">
        <v>33</v>
      </c>
      <c r="I4" s="3"/>
      <c r="J4" s="2" t="s">
        <v>20</v>
      </c>
      <c r="K4" s="2" t="s">
        <v>34</v>
      </c>
      <c r="L4" s="3"/>
    </row>
    <row r="5" customFormat="false" ht="60" hidden="false" customHeight="true" outlineLevel="0" collapsed="false">
      <c r="A5" s="2" t="s">
        <v>35</v>
      </c>
      <c r="B5" s="3" t="s">
        <v>13</v>
      </c>
      <c r="C5" s="3" t="s">
        <v>36</v>
      </c>
      <c r="D5" s="3" t="s">
        <v>37</v>
      </c>
      <c r="E5" s="3" t="s">
        <v>38</v>
      </c>
      <c r="F5" s="3" t="s">
        <v>39</v>
      </c>
      <c r="G5" s="3" t="s">
        <v>40</v>
      </c>
      <c r="H5" s="3" t="s">
        <v>41</v>
      </c>
      <c r="I5" s="3"/>
      <c r="J5" s="2" t="s">
        <v>20</v>
      </c>
      <c r="K5" s="2" t="s">
        <v>34</v>
      </c>
      <c r="L5" s="3"/>
    </row>
    <row r="6" customFormat="false" ht="60" hidden="false" customHeight="true" outlineLevel="0" collapsed="false">
      <c r="A6" s="2" t="s">
        <v>42</v>
      </c>
      <c r="B6" s="3" t="s">
        <v>13</v>
      </c>
      <c r="C6" s="3" t="s">
        <v>36</v>
      </c>
      <c r="D6" s="3" t="s">
        <v>43</v>
      </c>
      <c r="E6" s="3" t="s">
        <v>44</v>
      </c>
      <c r="F6" s="3" t="s">
        <v>45</v>
      </c>
      <c r="G6" s="3" t="s">
        <v>40</v>
      </c>
      <c r="H6" s="3" t="s">
        <v>46</v>
      </c>
      <c r="I6" s="3"/>
      <c r="J6" s="2" t="s">
        <v>20</v>
      </c>
      <c r="K6" s="2" t="s">
        <v>21</v>
      </c>
      <c r="L6" s="3"/>
    </row>
    <row r="7" customFormat="false" ht="60" hidden="false" customHeight="true" outlineLevel="0" collapsed="false">
      <c r="A7" s="2" t="s">
        <v>47</v>
      </c>
      <c r="B7" s="3" t="s">
        <v>13</v>
      </c>
      <c r="C7" s="3" t="s">
        <v>48</v>
      </c>
      <c r="D7" s="3" t="s">
        <v>49</v>
      </c>
      <c r="E7" s="3" t="s">
        <v>50</v>
      </c>
      <c r="F7" s="3" t="s">
        <v>51</v>
      </c>
      <c r="G7" s="3" t="s">
        <v>40</v>
      </c>
      <c r="H7" s="3" t="s">
        <v>52</v>
      </c>
      <c r="I7" s="3"/>
      <c r="J7" s="2" t="s">
        <v>20</v>
      </c>
      <c r="K7" s="2" t="s">
        <v>53</v>
      </c>
      <c r="L7" s="3"/>
    </row>
    <row r="8" customFormat="false" ht="60" hidden="false" customHeight="true" outlineLevel="0" collapsed="false">
      <c r="A8" s="2" t="s">
        <v>54</v>
      </c>
      <c r="B8" s="3" t="s">
        <v>55</v>
      </c>
      <c r="C8" s="3" t="s">
        <v>14</v>
      </c>
      <c r="D8" s="3" t="s">
        <v>56</v>
      </c>
      <c r="E8" s="3" t="s">
        <v>16</v>
      </c>
      <c r="F8" s="3" t="s">
        <v>57</v>
      </c>
      <c r="G8" s="3" t="s">
        <v>58</v>
      </c>
      <c r="H8" s="3" t="s">
        <v>59</v>
      </c>
      <c r="I8" s="3"/>
      <c r="J8" s="2" t="s">
        <v>20</v>
      </c>
      <c r="K8" s="2" t="s">
        <v>21</v>
      </c>
      <c r="L8" s="3"/>
    </row>
    <row r="9" customFormat="false" ht="60" hidden="false" customHeight="true" outlineLevel="0" collapsed="false">
      <c r="A9" s="2" t="s">
        <v>60</v>
      </c>
      <c r="B9" s="3" t="s">
        <v>55</v>
      </c>
      <c r="C9" s="3" t="s">
        <v>14</v>
      </c>
      <c r="D9" s="3" t="s">
        <v>61</v>
      </c>
      <c r="E9" s="3" t="s">
        <v>16</v>
      </c>
      <c r="F9" s="3" t="s">
        <v>62</v>
      </c>
      <c r="G9" s="3" t="s">
        <v>63</v>
      </c>
      <c r="H9" s="3" t="s">
        <v>64</v>
      </c>
      <c r="I9" s="3"/>
      <c r="J9" s="2" t="s">
        <v>20</v>
      </c>
      <c r="K9" s="2" t="s">
        <v>21</v>
      </c>
      <c r="L9" s="3"/>
    </row>
    <row r="10" customFormat="false" ht="60" hidden="false" customHeight="true" outlineLevel="0" collapsed="false">
      <c r="A10" s="2" t="s">
        <v>65</v>
      </c>
      <c r="B10" s="3" t="s">
        <v>55</v>
      </c>
      <c r="C10" s="3" t="s">
        <v>14</v>
      </c>
      <c r="D10" s="3" t="s">
        <v>66</v>
      </c>
      <c r="E10" s="3" t="s">
        <v>67</v>
      </c>
      <c r="F10" s="3" t="s">
        <v>68</v>
      </c>
      <c r="G10" s="3" t="s">
        <v>69</v>
      </c>
      <c r="H10" s="3" t="s">
        <v>70</v>
      </c>
      <c r="I10" s="3"/>
      <c r="J10" s="2" t="s">
        <v>20</v>
      </c>
      <c r="K10" s="2" t="s">
        <v>21</v>
      </c>
      <c r="L10" s="3"/>
    </row>
    <row r="11" customFormat="false" ht="60" hidden="false" customHeight="true" outlineLevel="0" collapsed="false">
      <c r="A11" s="2" t="s">
        <v>71</v>
      </c>
      <c r="B11" s="3" t="s">
        <v>55</v>
      </c>
      <c r="C11" s="3" t="s">
        <v>28</v>
      </c>
      <c r="D11" s="3" t="s">
        <v>72</v>
      </c>
      <c r="E11" s="3" t="s">
        <v>73</v>
      </c>
      <c r="F11" s="3" t="s">
        <v>74</v>
      </c>
      <c r="G11" s="3" t="s">
        <v>75</v>
      </c>
      <c r="H11" s="3" t="s">
        <v>76</v>
      </c>
      <c r="I11" s="3"/>
      <c r="J11" s="2" t="s">
        <v>20</v>
      </c>
      <c r="K11" s="2" t="s">
        <v>34</v>
      </c>
      <c r="L11" s="3"/>
    </row>
    <row r="12" customFormat="false" ht="60" hidden="false" customHeight="true" outlineLevel="0" collapsed="false">
      <c r="A12" s="2" t="s">
        <v>77</v>
      </c>
      <c r="B12" s="3" t="s">
        <v>55</v>
      </c>
      <c r="C12" s="3" t="s">
        <v>36</v>
      </c>
      <c r="D12" s="3" t="s">
        <v>78</v>
      </c>
      <c r="E12" s="3" t="s">
        <v>79</v>
      </c>
      <c r="F12" s="3" t="s">
        <v>80</v>
      </c>
      <c r="G12" s="3" t="s">
        <v>40</v>
      </c>
      <c r="H12" s="3" t="s">
        <v>81</v>
      </c>
      <c r="I12" s="3"/>
      <c r="J12" s="2" t="s">
        <v>20</v>
      </c>
      <c r="K12" s="2" t="s">
        <v>34</v>
      </c>
      <c r="L12" s="3"/>
    </row>
    <row r="13" customFormat="false" ht="60" hidden="false" customHeight="true" outlineLevel="0" collapsed="false">
      <c r="A13" s="2" t="s">
        <v>82</v>
      </c>
      <c r="B13" s="3" t="s">
        <v>55</v>
      </c>
      <c r="C13" s="3" t="s">
        <v>83</v>
      </c>
      <c r="D13" s="3" t="s">
        <v>84</v>
      </c>
      <c r="E13" s="3" t="s">
        <v>85</v>
      </c>
      <c r="F13" s="3" t="s">
        <v>86</v>
      </c>
      <c r="G13" s="3" t="s">
        <v>87</v>
      </c>
      <c r="H13" s="3" t="s">
        <v>88</v>
      </c>
      <c r="I13" s="3"/>
      <c r="J13" s="2" t="s">
        <v>20</v>
      </c>
      <c r="K13" s="2" t="s">
        <v>53</v>
      </c>
      <c r="L13" s="3"/>
    </row>
    <row r="14" customFormat="false" ht="60" hidden="false" customHeight="true" outlineLevel="0" collapsed="false">
      <c r="A14" s="2" t="s">
        <v>89</v>
      </c>
      <c r="B14" s="3" t="s">
        <v>90</v>
      </c>
      <c r="C14" s="3" t="s">
        <v>14</v>
      </c>
      <c r="D14" s="3" t="s">
        <v>91</v>
      </c>
      <c r="E14" s="3" t="s">
        <v>16</v>
      </c>
      <c r="F14" s="3" t="s">
        <v>92</v>
      </c>
      <c r="G14" s="3" t="s">
        <v>93</v>
      </c>
      <c r="H14" s="3" t="s">
        <v>94</v>
      </c>
      <c r="I14" s="3"/>
      <c r="J14" s="2" t="s">
        <v>20</v>
      </c>
      <c r="K14" s="2" t="s">
        <v>21</v>
      </c>
      <c r="L14" s="3"/>
    </row>
    <row r="15" customFormat="false" ht="60" hidden="false" customHeight="true" outlineLevel="0" collapsed="false">
      <c r="A15" s="2" t="s">
        <v>95</v>
      </c>
      <c r="B15" s="3" t="s">
        <v>90</v>
      </c>
      <c r="C15" s="3" t="s">
        <v>14</v>
      </c>
      <c r="D15" s="3" t="s">
        <v>96</v>
      </c>
      <c r="E15" s="3" t="s">
        <v>16</v>
      </c>
      <c r="F15" s="3" t="s">
        <v>97</v>
      </c>
      <c r="G15" s="3" t="s">
        <v>98</v>
      </c>
      <c r="H15" s="3" t="s">
        <v>99</v>
      </c>
      <c r="I15" s="3"/>
      <c r="J15" s="2" t="s">
        <v>20</v>
      </c>
      <c r="K15" s="2" t="s">
        <v>21</v>
      </c>
      <c r="L15" s="3"/>
    </row>
    <row r="16" customFormat="false" ht="60" hidden="false" customHeight="true" outlineLevel="0" collapsed="false">
      <c r="A16" s="2" t="s">
        <v>100</v>
      </c>
      <c r="B16" s="3" t="s">
        <v>90</v>
      </c>
      <c r="C16" s="3" t="s">
        <v>28</v>
      </c>
      <c r="D16" s="3" t="s">
        <v>101</v>
      </c>
      <c r="E16" s="3" t="s">
        <v>102</v>
      </c>
      <c r="F16" s="3" t="s">
        <v>103</v>
      </c>
      <c r="G16" s="3" t="s">
        <v>104</v>
      </c>
      <c r="H16" s="3" t="s">
        <v>105</v>
      </c>
      <c r="I16" s="3"/>
      <c r="J16" s="2" t="s">
        <v>20</v>
      </c>
      <c r="K16" s="2" t="s">
        <v>34</v>
      </c>
      <c r="L16" s="3"/>
    </row>
    <row r="17" customFormat="false" ht="60" hidden="false" customHeight="true" outlineLevel="0" collapsed="false">
      <c r="A17" s="2" t="s">
        <v>106</v>
      </c>
      <c r="B17" s="3" t="s">
        <v>90</v>
      </c>
      <c r="C17" s="3" t="s">
        <v>36</v>
      </c>
      <c r="D17" s="3" t="s">
        <v>107</v>
      </c>
      <c r="E17" s="3" t="s">
        <v>108</v>
      </c>
      <c r="F17" s="3" t="s">
        <v>109</v>
      </c>
      <c r="G17" s="3" t="s">
        <v>40</v>
      </c>
      <c r="H17" s="3" t="s">
        <v>110</v>
      </c>
      <c r="I17" s="3"/>
      <c r="J17" s="2" t="s">
        <v>20</v>
      </c>
      <c r="K17" s="2" t="s">
        <v>21</v>
      </c>
      <c r="L17" s="3"/>
    </row>
    <row r="18" customFormat="false" ht="60" hidden="false" customHeight="true" outlineLevel="0" collapsed="false">
      <c r="A18" s="2" t="s">
        <v>111</v>
      </c>
      <c r="B18" s="3" t="s">
        <v>112</v>
      </c>
      <c r="C18" s="3" t="s">
        <v>14</v>
      </c>
      <c r="D18" s="3" t="s">
        <v>113</v>
      </c>
      <c r="E18" s="3" t="s">
        <v>114</v>
      </c>
      <c r="F18" s="3" t="s">
        <v>115</v>
      </c>
      <c r="G18" s="3" t="s">
        <v>116</v>
      </c>
      <c r="H18" s="3" t="s">
        <v>117</v>
      </c>
      <c r="I18" s="3"/>
      <c r="J18" s="2" t="s">
        <v>20</v>
      </c>
      <c r="K18" s="2" t="s">
        <v>21</v>
      </c>
      <c r="L18" s="3"/>
    </row>
    <row r="19" customFormat="false" ht="60" hidden="false" customHeight="true" outlineLevel="0" collapsed="false">
      <c r="A19" s="2" t="s">
        <v>118</v>
      </c>
      <c r="B19" s="3" t="s">
        <v>112</v>
      </c>
      <c r="C19" s="3" t="s">
        <v>14</v>
      </c>
      <c r="D19" s="3" t="s">
        <v>119</v>
      </c>
      <c r="E19" s="3" t="s">
        <v>16</v>
      </c>
      <c r="F19" s="3" t="s">
        <v>120</v>
      </c>
      <c r="G19" s="3" t="s">
        <v>121</v>
      </c>
      <c r="H19" s="3" t="s">
        <v>122</v>
      </c>
      <c r="I19" s="3"/>
      <c r="J19" s="2" t="s">
        <v>20</v>
      </c>
      <c r="K19" s="2" t="s">
        <v>21</v>
      </c>
      <c r="L19" s="3"/>
    </row>
    <row r="20" customFormat="false" ht="60" hidden="false" customHeight="true" outlineLevel="0" collapsed="false">
      <c r="A20" s="2" t="s">
        <v>123</v>
      </c>
      <c r="B20" s="3" t="s">
        <v>112</v>
      </c>
      <c r="C20" s="3" t="s">
        <v>28</v>
      </c>
      <c r="D20" s="3" t="s">
        <v>124</v>
      </c>
      <c r="E20" s="3" t="s">
        <v>125</v>
      </c>
      <c r="F20" s="3" t="s">
        <v>126</v>
      </c>
      <c r="G20" s="3" t="s">
        <v>127</v>
      </c>
      <c r="H20" s="3" t="s">
        <v>128</v>
      </c>
      <c r="I20" s="3"/>
      <c r="J20" s="2" t="s">
        <v>20</v>
      </c>
      <c r="K20" s="2" t="s">
        <v>21</v>
      </c>
      <c r="L20" s="3"/>
    </row>
    <row r="21" customFormat="false" ht="60" hidden="false" customHeight="true" outlineLevel="0" collapsed="false">
      <c r="A21" s="2" t="s">
        <v>129</v>
      </c>
      <c r="B21" s="3" t="s">
        <v>112</v>
      </c>
      <c r="C21" s="3" t="s">
        <v>36</v>
      </c>
      <c r="D21" s="3" t="s">
        <v>130</v>
      </c>
      <c r="E21" s="3" t="s">
        <v>131</v>
      </c>
      <c r="F21" s="3" t="s">
        <v>132</v>
      </c>
      <c r="G21" s="3" t="s">
        <v>40</v>
      </c>
      <c r="H21" s="3" t="s">
        <v>133</v>
      </c>
      <c r="I21" s="3"/>
      <c r="J21" s="2" t="s">
        <v>20</v>
      </c>
      <c r="K21" s="2" t="s">
        <v>34</v>
      </c>
      <c r="L21" s="3"/>
    </row>
    <row r="22" customFormat="false" ht="60" hidden="false" customHeight="true" outlineLevel="0" collapsed="false">
      <c r="A22" s="2" t="s">
        <v>134</v>
      </c>
      <c r="B22" s="3" t="s">
        <v>112</v>
      </c>
      <c r="C22" s="3" t="s">
        <v>48</v>
      </c>
      <c r="D22" s="3" t="s">
        <v>135</v>
      </c>
      <c r="E22" s="3" t="s">
        <v>136</v>
      </c>
      <c r="F22" s="3" t="s">
        <v>137</v>
      </c>
      <c r="G22" s="3" t="s">
        <v>40</v>
      </c>
      <c r="H22" s="3" t="s">
        <v>138</v>
      </c>
      <c r="I22" s="3"/>
      <c r="J22" s="2" t="s">
        <v>20</v>
      </c>
      <c r="K22" s="2" t="s">
        <v>53</v>
      </c>
      <c r="L22" s="3"/>
    </row>
    <row r="23" customFormat="false" ht="60" hidden="false" customHeight="true" outlineLevel="0" collapsed="false">
      <c r="A23" s="2" t="s">
        <v>139</v>
      </c>
      <c r="B23" s="3" t="s">
        <v>140</v>
      </c>
      <c r="C23" s="3" t="s">
        <v>141</v>
      </c>
      <c r="D23" s="3" t="s">
        <v>142</v>
      </c>
      <c r="E23" s="3" t="s">
        <v>143</v>
      </c>
      <c r="F23" s="3" t="s">
        <v>144</v>
      </c>
      <c r="G23" s="3" t="s">
        <v>145</v>
      </c>
      <c r="H23" s="3" t="s">
        <v>146</v>
      </c>
      <c r="I23" s="3"/>
      <c r="J23" s="2" t="s">
        <v>20</v>
      </c>
      <c r="K23" s="2" t="s">
        <v>21</v>
      </c>
      <c r="L23" s="3"/>
    </row>
    <row r="24" customFormat="false" ht="60" hidden="false" customHeight="true" outlineLevel="0" collapsed="false">
      <c r="A24" s="2" t="s">
        <v>147</v>
      </c>
      <c r="B24" s="3" t="s">
        <v>140</v>
      </c>
      <c r="C24" s="3" t="s">
        <v>148</v>
      </c>
      <c r="D24" s="3" t="s">
        <v>149</v>
      </c>
      <c r="E24" s="3" t="s">
        <v>150</v>
      </c>
      <c r="F24" s="3" t="s">
        <v>151</v>
      </c>
      <c r="G24" s="3" t="s">
        <v>152</v>
      </c>
      <c r="H24" s="3" t="s">
        <v>153</v>
      </c>
      <c r="I24" s="3"/>
      <c r="J24" s="2" t="s">
        <v>20</v>
      </c>
      <c r="K24" s="2" t="s">
        <v>21</v>
      </c>
      <c r="L24" s="3"/>
    </row>
    <row r="25" customFormat="false" ht="60" hidden="false" customHeight="true" outlineLevel="0" collapsed="false">
      <c r="A25" s="2" t="s">
        <v>154</v>
      </c>
      <c r="B25" s="3" t="s">
        <v>140</v>
      </c>
      <c r="C25" s="3" t="s">
        <v>148</v>
      </c>
      <c r="D25" s="3" t="s">
        <v>155</v>
      </c>
      <c r="E25" s="3" t="s">
        <v>156</v>
      </c>
      <c r="F25" s="3" t="s">
        <v>157</v>
      </c>
      <c r="G25" s="3" t="s">
        <v>158</v>
      </c>
      <c r="H25" s="3" t="s">
        <v>159</v>
      </c>
      <c r="I25" s="3"/>
      <c r="J25" s="2" t="s">
        <v>20</v>
      </c>
      <c r="K25" s="2" t="s">
        <v>21</v>
      </c>
      <c r="L25" s="3"/>
    </row>
    <row r="26" customFormat="false" ht="60" hidden="false" customHeight="true" outlineLevel="0" collapsed="false">
      <c r="A26" s="2" t="s">
        <v>160</v>
      </c>
      <c r="B26" s="3" t="s">
        <v>140</v>
      </c>
      <c r="C26" s="3" t="s">
        <v>161</v>
      </c>
      <c r="D26" s="3" t="s">
        <v>162</v>
      </c>
      <c r="E26" s="3" t="s">
        <v>163</v>
      </c>
      <c r="F26" s="3" t="s">
        <v>164</v>
      </c>
      <c r="G26" s="3" t="s">
        <v>40</v>
      </c>
      <c r="H26" s="3" t="s">
        <v>165</v>
      </c>
      <c r="I26" s="3"/>
      <c r="J26" s="2" t="s">
        <v>20</v>
      </c>
      <c r="K26" s="2" t="s">
        <v>34</v>
      </c>
      <c r="L26" s="3"/>
    </row>
    <row r="27" customFormat="false" ht="60" hidden="false" customHeight="true" outlineLevel="0" collapsed="false">
      <c r="A27" s="2" t="s">
        <v>166</v>
      </c>
      <c r="B27" s="3" t="s">
        <v>167</v>
      </c>
      <c r="C27" s="3" t="s">
        <v>14</v>
      </c>
      <c r="D27" s="3" t="s">
        <v>168</v>
      </c>
      <c r="E27" s="3" t="s">
        <v>169</v>
      </c>
      <c r="F27" s="3" t="s">
        <v>170</v>
      </c>
      <c r="G27" s="3" t="s">
        <v>171</v>
      </c>
      <c r="H27" s="3" t="s">
        <v>172</v>
      </c>
      <c r="I27" s="3"/>
      <c r="J27" s="2" t="s">
        <v>20</v>
      </c>
      <c r="K27" s="2" t="s">
        <v>21</v>
      </c>
      <c r="L27" s="3"/>
    </row>
    <row r="28" customFormat="false" ht="60" hidden="false" customHeight="true" outlineLevel="0" collapsed="false">
      <c r="A28" s="2" t="s">
        <v>173</v>
      </c>
      <c r="B28" s="3" t="s">
        <v>167</v>
      </c>
      <c r="C28" s="3" t="s">
        <v>28</v>
      </c>
      <c r="D28" s="3" t="s">
        <v>174</v>
      </c>
      <c r="E28" s="3" t="s">
        <v>175</v>
      </c>
      <c r="F28" s="3" t="s">
        <v>176</v>
      </c>
      <c r="G28" s="3" t="s">
        <v>177</v>
      </c>
      <c r="H28" s="3" t="s">
        <v>178</v>
      </c>
      <c r="I28" s="3"/>
      <c r="J28" s="2" t="s">
        <v>20</v>
      </c>
      <c r="K28" s="2" t="s">
        <v>34</v>
      </c>
      <c r="L28" s="3"/>
    </row>
    <row r="29" customFormat="false" ht="60" hidden="false" customHeight="true" outlineLevel="0" collapsed="false">
      <c r="A29" s="2" t="s">
        <v>179</v>
      </c>
      <c r="B29" s="3" t="s">
        <v>180</v>
      </c>
      <c r="C29" s="3" t="s">
        <v>14</v>
      </c>
      <c r="D29" s="3" t="s">
        <v>181</v>
      </c>
      <c r="E29" s="3" t="s">
        <v>16</v>
      </c>
      <c r="F29" s="3" t="s">
        <v>182</v>
      </c>
      <c r="G29" s="3" t="s">
        <v>183</v>
      </c>
      <c r="H29" s="3" t="s">
        <v>184</v>
      </c>
      <c r="I29" s="3"/>
      <c r="J29" s="2" t="s">
        <v>20</v>
      </c>
      <c r="K29" s="2" t="s">
        <v>53</v>
      </c>
      <c r="L29" s="3"/>
    </row>
    <row r="30" customFormat="false" ht="60" hidden="false" customHeight="true" outlineLevel="0" collapsed="false">
      <c r="A30" s="2" t="s">
        <v>185</v>
      </c>
      <c r="B30" s="3" t="s">
        <v>186</v>
      </c>
      <c r="C30" s="3" t="s">
        <v>187</v>
      </c>
      <c r="D30" s="3" t="s">
        <v>188</v>
      </c>
      <c r="E30" s="3" t="s">
        <v>189</v>
      </c>
      <c r="F30" s="3" t="s">
        <v>190</v>
      </c>
      <c r="G30" s="3" t="s">
        <v>191</v>
      </c>
      <c r="H30" s="3" t="s">
        <v>192</v>
      </c>
      <c r="I30" s="3"/>
      <c r="J30" s="2" t="s">
        <v>20</v>
      </c>
      <c r="K30" s="2" t="s">
        <v>21</v>
      </c>
      <c r="L30" s="3"/>
    </row>
    <row r="31" customFormat="false" ht="60" hidden="false" customHeight="true" outlineLevel="0" collapsed="false">
      <c r="A31" s="2" t="s">
        <v>193</v>
      </c>
      <c r="B31" s="3" t="s">
        <v>186</v>
      </c>
      <c r="C31" s="3" t="s">
        <v>161</v>
      </c>
      <c r="D31" s="3" t="s">
        <v>194</v>
      </c>
      <c r="E31" s="3" t="s">
        <v>195</v>
      </c>
      <c r="F31" s="3" t="s">
        <v>196</v>
      </c>
      <c r="G31" s="3" t="s">
        <v>40</v>
      </c>
      <c r="H31" s="3" t="s">
        <v>197</v>
      </c>
      <c r="I31" s="3"/>
      <c r="J31" s="2" t="s">
        <v>20</v>
      </c>
      <c r="K31" s="2" t="s">
        <v>53</v>
      </c>
      <c r="L31" s="3"/>
    </row>
    <row r="32" customFormat="false" ht="60" hidden="false" customHeight="true" outlineLevel="0" collapsed="false">
      <c r="A32" s="2" t="s">
        <v>198</v>
      </c>
      <c r="B32" s="3" t="s">
        <v>199</v>
      </c>
      <c r="C32" s="3" t="s">
        <v>200</v>
      </c>
      <c r="D32" s="3" t="s">
        <v>201</v>
      </c>
      <c r="E32" s="3" t="s">
        <v>202</v>
      </c>
      <c r="F32" s="3" t="s">
        <v>203</v>
      </c>
      <c r="G32" s="3" t="s">
        <v>204</v>
      </c>
      <c r="H32" s="3" t="s">
        <v>205</v>
      </c>
      <c r="I32" s="3"/>
      <c r="J32" s="2" t="s">
        <v>20</v>
      </c>
      <c r="K32" s="2" t="s">
        <v>21</v>
      </c>
      <c r="L32" s="3"/>
    </row>
    <row r="33" customFormat="false" ht="60" hidden="false" customHeight="true" outlineLevel="0" collapsed="false">
      <c r="A33" s="2" t="s">
        <v>206</v>
      </c>
      <c r="B33" s="3" t="s">
        <v>199</v>
      </c>
      <c r="C33" s="3" t="s">
        <v>200</v>
      </c>
      <c r="D33" s="3" t="s">
        <v>207</v>
      </c>
      <c r="E33" s="3" t="s">
        <v>208</v>
      </c>
      <c r="F33" s="3" t="s">
        <v>209</v>
      </c>
      <c r="G33" s="3" t="s">
        <v>210</v>
      </c>
      <c r="H33" s="3" t="s">
        <v>211</v>
      </c>
      <c r="I33" s="3"/>
      <c r="J33" s="2" t="s">
        <v>20</v>
      </c>
      <c r="K33" s="2" t="s">
        <v>21</v>
      </c>
      <c r="L33" s="3"/>
    </row>
    <row r="34" customFormat="false" ht="60" hidden="false" customHeight="true" outlineLevel="0" collapsed="false">
      <c r="A34" s="2" t="s">
        <v>212</v>
      </c>
      <c r="B34" s="3" t="s">
        <v>199</v>
      </c>
      <c r="C34" s="3" t="s">
        <v>213</v>
      </c>
      <c r="D34" s="3" t="s">
        <v>214</v>
      </c>
      <c r="E34" s="3" t="s">
        <v>215</v>
      </c>
      <c r="F34" s="3" t="s">
        <v>216</v>
      </c>
      <c r="G34" s="3" t="s">
        <v>40</v>
      </c>
      <c r="H34" s="3" t="s">
        <v>217</v>
      </c>
      <c r="I34" s="3"/>
      <c r="J34" s="2" t="s">
        <v>20</v>
      </c>
      <c r="K34" s="2" t="s">
        <v>34</v>
      </c>
      <c r="L34" s="3"/>
    </row>
    <row r="35" customFormat="false" ht="60" hidden="false" customHeight="true" outlineLevel="0" collapsed="false">
      <c r="A35" s="2" t="s">
        <v>218</v>
      </c>
      <c r="B35" s="3" t="s">
        <v>199</v>
      </c>
      <c r="C35" s="3" t="s">
        <v>161</v>
      </c>
      <c r="D35" s="3" t="s">
        <v>219</v>
      </c>
      <c r="E35" s="3" t="s">
        <v>220</v>
      </c>
      <c r="F35" s="3" t="s">
        <v>221</v>
      </c>
      <c r="G35" s="3" t="s">
        <v>222</v>
      </c>
      <c r="H35" s="3" t="s">
        <v>223</v>
      </c>
      <c r="I35" s="3"/>
      <c r="J35" s="2" t="s">
        <v>20</v>
      </c>
      <c r="K35" s="2" t="s">
        <v>53</v>
      </c>
      <c r="L35" s="3"/>
    </row>
    <row r="36" customFormat="false" ht="60" hidden="false" customHeight="true" outlineLevel="0" collapsed="false">
      <c r="A36" s="2" t="s">
        <v>224</v>
      </c>
      <c r="B36" s="3" t="s">
        <v>225</v>
      </c>
      <c r="C36" s="3" t="s">
        <v>200</v>
      </c>
      <c r="D36" s="3" t="s">
        <v>226</v>
      </c>
      <c r="E36" s="3" t="s">
        <v>227</v>
      </c>
      <c r="F36" s="3" t="s">
        <v>228</v>
      </c>
      <c r="G36" s="3" t="s">
        <v>229</v>
      </c>
      <c r="H36" s="3" t="s">
        <v>230</v>
      </c>
      <c r="I36" s="3"/>
      <c r="J36" s="2" t="s">
        <v>20</v>
      </c>
      <c r="K36" s="2" t="s">
        <v>21</v>
      </c>
      <c r="L36" s="3"/>
    </row>
    <row r="37" customFormat="false" ht="60" hidden="false" customHeight="true" outlineLevel="0" collapsed="false">
      <c r="A37" s="2" t="s">
        <v>231</v>
      </c>
      <c r="B37" s="3" t="s">
        <v>225</v>
      </c>
      <c r="C37" s="3" t="s">
        <v>161</v>
      </c>
      <c r="D37" s="3" t="s">
        <v>232</v>
      </c>
      <c r="E37" s="3" t="s">
        <v>233</v>
      </c>
      <c r="F37" s="3" t="s">
        <v>234</v>
      </c>
      <c r="G37" s="3" t="s">
        <v>235</v>
      </c>
      <c r="H37" s="3" t="s">
        <v>236</v>
      </c>
      <c r="I37" s="3"/>
      <c r="J37" s="2" t="s">
        <v>20</v>
      </c>
      <c r="K37" s="2" t="s">
        <v>53</v>
      </c>
      <c r="L37" s="3"/>
    </row>
    <row r="38" customFormat="false" ht="60" hidden="false" customHeight="true" outlineLevel="0" collapsed="false">
      <c r="A38" s="2" t="s">
        <v>237</v>
      </c>
      <c r="B38" s="3" t="s">
        <v>238</v>
      </c>
      <c r="C38" s="3" t="s">
        <v>200</v>
      </c>
      <c r="D38" s="3" t="s">
        <v>239</v>
      </c>
      <c r="E38" s="3" t="s">
        <v>240</v>
      </c>
      <c r="F38" s="3" t="s">
        <v>241</v>
      </c>
      <c r="G38" s="3" t="s">
        <v>40</v>
      </c>
      <c r="H38" s="3" t="s">
        <v>242</v>
      </c>
      <c r="I38" s="3"/>
      <c r="J38" s="2" t="s">
        <v>20</v>
      </c>
      <c r="K38" s="2" t="s">
        <v>21</v>
      </c>
      <c r="L38" s="3"/>
    </row>
    <row r="39" customFormat="false" ht="60" hidden="false" customHeight="true" outlineLevel="0" collapsed="false">
      <c r="A39" s="2" t="s">
        <v>243</v>
      </c>
      <c r="B39" s="3" t="s">
        <v>238</v>
      </c>
      <c r="C39" s="3" t="s">
        <v>244</v>
      </c>
      <c r="D39" s="3" t="s">
        <v>245</v>
      </c>
      <c r="E39" s="3" t="s">
        <v>246</v>
      </c>
      <c r="F39" s="3" t="s">
        <v>247</v>
      </c>
      <c r="G39" s="3" t="s">
        <v>248</v>
      </c>
      <c r="H39" s="3" t="s">
        <v>249</v>
      </c>
      <c r="I39" s="3"/>
      <c r="J39" s="2" t="s">
        <v>20</v>
      </c>
      <c r="K39" s="2" t="s">
        <v>21</v>
      </c>
      <c r="L39" s="3"/>
    </row>
    <row r="40" customFormat="false" ht="60" hidden="false" customHeight="true" outlineLevel="0" collapsed="false">
      <c r="A40" s="2" t="s">
        <v>250</v>
      </c>
      <c r="B40" s="3" t="s">
        <v>251</v>
      </c>
      <c r="C40" s="3" t="s">
        <v>200</v>
      </c>
      <c r="D40" s="3" t="s">
        <v>252</v>
      </c>
      <c r="E40" s="3" t="s">
        <v>253</v>
      </c>
      <c r="F40" s="3" t="s">
        <v>254</v>
      </c>
      <c r="G40" s="3" t="s">
        <v>40</v>
      </c>
      <c r="H40" s="3" t="s">
        <v>255</v>
      </c>
      <c r="I40" s="3"/>
      <c r="J40" s="2" t="s">
        <v>20</v>
      </c>
      <c r="K40" s="2" t="s">
        <v>21</v>
      </c>
      <c r="L40" s="3"/>
    </row>
    <row r="41" customFormat="false" ht="60" hidden="false" customHeight="true" outlineLevel="0" collapsed="false">
      <c r="A41" s="2" t="s">
        <v>256</v>
      </c>
      <c r="B41" s="3" t="s">
        <v>251</v>
      </c>
      <c r="C41" s="3" t="s">
        <v>244</v>
      </c>
      <c r="D41" s="3" t="s">
        <v>257</v>
      </c>
      <c r="E41" s="3" t="s">
        <v>258</v>
      </c>
      <c r="F41" s="3" t="s">
        <v>259</v>
      </c>
      <c r="G41" s="3" t="s">
        <v>260</v>
      </c>
      <c r="H41" s="3" t="s">
        <v>261</v>
      </c>
      <c r="I41" s="3"/>
      <c r="J41" s="2" t="s">
        <v>20</v>
      </c>
      <c r="K41" s="2" t="s">
        <v>21</v>
      </c>
      <c r="L41" s="3"/>
    </row>
    <row r="42" customFormat="false" ht="60" hidden="false" customHeight="true" outlineLevel="0" collapsed="false">
      <c r="A42" s="2" t="s">
        <v>262</v>
      </c>
      <c r="B42" s="3" t="s">
        <v>251</v>
      </c>
      <c r="C42" s="3" t="s">
        <v>161</v>
      </c>
      <c r="D42" s="3" t="s">
        <v>263</v>
      </c>
      <c r="E42" s="3" t="s">
        <v>264</v>
      </c>
      <c r="F42" s="3" t="s">
        <v>265</v>
      </c>
      <c r="G42" s="3" t="s">
        <v>40</v>
      </c>
      <c r="H42" s="3" t="s">
        <v>266</v>
      </c>
      <c r="I42" s="3"/>
      <c r="J42" s="2" t="s">
        <v>20</v>
      </c>
      <c r="K42" s="2" t="s">
        <v>34</v>
      </c>
      <c r="L42" s="3"/>
    </row>
    <row r="43" customFormat="false" ht="60" hidden="false" customHeight="true" outlineLevel="0" collapsed="false">
      <c r="A43" s="2" t="s">
        <v>267</v>
      </c>
      <c r="B43" s="3" t="s">
        <v>268</v>
      </c>
      <c r="C43" s="3" t="s">
        <v>269</v>
      </c>
      <c r="D43" s="3" t="s">
        <v>270</v>
      </c>
      <c r="E43" s="3" t="s">
        <v>271</v>
      </c>
      <c r="F43" s="3" t="s">
        <v>272</v>
      </c>
      <c r="G43" s="3" t="s">
        <v>273</v>
      </c>
      <c r="H43" s="3" t="s">
        <v>274</v>
      </c>
      <c r="I43" s="3"/>
      <c r="J43" s="2" t="s">
        <v>20</v>
      </c>
      <c r="K43" s="2" t="s">
        <v>21</v>
      </c>
      <c r="L43" s="3"/>
    </row>
    <row r="44" customFormat="false" ht="60" hidden="false" customHeight="true" outlineLevel="0" collapsed="false">
      <c r="A44" s="2" t="s">
        <v>275</v>
      </c>
      <c r="B44" s="3" t="s">
        <v>268</v>
      </c>
      <c r="C44" s="3" t="s">
        <v>276</v>
      </c>
      <c r="D44" s="3" t="s">
        <v>277</v>
      </c>
      <c r="E44" s="3" t="s">
        <v>278</v>
      </c>
      <c r="F44" s="3" t="s">
        <v>279</v>
      </c>
      <c r="G44" s="3" t="s">
        <v>280</v>
      </c>
      <c r="H44" s="3" t="s">
        <v>281</v>
      </c>
      <c r="I44" s="3"/>
      <c r="J44" s="2" t="s">
        <v>20</v>
      </c>
      <c r="K44" s="2" t="s">
        <v>34</v>
      </c>
      <c r="L44" s="3"/>
    </row>
    <row r="45" customFormat="false" ht="60" hidden="false" customHeight="true" outlineLevel="0" collapsed="false">
      <c r="A45" s="2" t="s">
        <v>282</v>
      </c>
      <c r="B45" s="3" t="s">
        <v>268</v>
      </c>
      <c r="C45" s="3" t="s">
        <v>283</v>
      </c>
      <c r="D45" s="3" t="s">
        <v>284</v>
      </c>
      <c r="E45" s="3" t="s">
        <v>285</v>
      </c>
      <c r="F45" s="3" t="s">
        <v>286</v>
      </c>
      <c r="G45" s="3" t="s">
        <v>40</v>
      </c>
      <c r="H45" s="3" t="s">
        <v>287</v>
      </c>
      <c r="I45" s="3"/>
      <c r="J45" s="2" t="s">
        <v>20</v>
      </c>
      <c r="K45" s="2" t="s">
        <v>21</v>
      </c>
      <c r="L45" s="3"/>
    </row>
    <row r="46" customFormat="false" ht="60" hidden="false" customHeight="true" outlineLevel="0" collapsed="false">
      <c r="A46" s="2" t="s">
        <v>288</v>
      </c>
      <c r="B46" s="3" t="s">
        <v>289</v>
      </c>
      <c r="C46" s="3" t="s">
        <v>290</v>
      </c>
      <c r="D46" s="3" t="s">
        <v>291</v>
      </c>
      <c r="E46" s="3" t="s">
        <v>292</v>
      </c>
      <c r="F46" s="3" t="s">
        <v>293</v>
      </c>
      <c r="G46" s="3" t="s">
        <v>40</v>
      </c>
      <c r="H46" s="3" t="s">
        <v>294</v>
      </c>
      <c r="I46" s="3"/>
      <c r="J46" s="2" t="s">
        <v>20</v>
      </c>
      <c r="K46" s="2" t="s">
        <v>21</v>
      </c>
      <c r="L46" s="3"/>
    </row>
    <row r="47" customFormat="false" ht="60" hidden="false" customHeight="true" outlineLevel="0" collapsed="false">
      <c r="A47" s="2" t="s">
        <v>295</v>
      </c>
      <c r="B47" s="3" t="s">
        <v>289</v>
      </c>
      <c r="C47" s="3" t="s">
        <v>296</v>
      </c>
      <c r="D47" s="3" t="s">
        <v>297</v>
      </c>
      <c r="E47" s="3" t="s">
        <v>298</v>
      </c>
      <c r="F47" s="3" t="s">
        <v>299</v>
      </c>
      <c r="G47" s="3" t="s">
        <v>40</v>
      </c>
      <c r="H47" s="3" t="s">
        <v>300</v>
      </c>
      <c r="I47" s="3"/>
      <c r="J47" s="2" t="s">
        <v>20</v>
      </c>
      <c r="K47" s="2" t="s">
        <v>34</v>
      </c>
      <c r="L47" s="3"/>
    </row>
  </sheetData>
  <autoFilter ref="A1:L47"/>
  <conditionalFormatting sqref="J2:J47">
    <cfRule type="cellIs" priority="2" operator="equal" aboveAverage="0" equalAverage="0" bottom="0" percent="0" rank="0" text="" dxfId="3">
      <formula>"Passou"</formula>
    </cfRule>
    <cfRule type="cellIs" priority="3" operator="equal" aboveAverage="0" equalAverage="0" bottom="0" percent="0" rank="0" text="" dxfId="4">
      <formula>"Falhou"</formula>
    </cfRule>
    <cfRule type="cellIs" priority="4" operator="equal" aboveAverage="0" equalAverage="0" bottom="0" percent="0" rank="0" text="" dxfId="5">
      <formula>"Bloqueado"</formula>
    </cfRule>
  </conditionalFormatting>
  <dataValidations count="2">
    <dataValidation allowBlank="true" errorStyle="stop" operator="between" showDropDown="false" showErrorMessage="false" showInputMessage="false" sqref="J2:J47" type="list">
      <formula1>"Não testado,Passou,Falhou,Bloqueado"</formula1>
      <formula2>0</formula2>
    </dataValidation>
    <dataValidation allowBlank="true" errorStyle="stop" operator="between" showDropDown="false" showErrorMessage="false" showInputMessage="false" sqref="K2:K47" type="list">
      <formula1>"Alta,Média,Baixa"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50"/>
  </cols>
  <sheetData>
    <row r="1" customFormat="false" ht="15" hidden="false" customHeight="false" outlineLevel="0" collapsed="false">
      <c r="A1" s="4" t="s">
        <v>301</v>
      </c>
      <c r="B1" s="5" t="s">
        <v>302</v>
      </c>
    </row>
    <row r="2" customFormat="false" ht="15" hidden="false" customHeight="false" outlineLevel="0" collapsed="false">
      <c r="A2" s="5" t="s">
        <v>303</v>
      </c>
      <c r="B2" s="5" t="n">
        <f aca="false">COUNTA('Plano de Testes'!A2:A47)</f>
        <v>46</v>
      </c>
    </row>
    <row r="3" customFormat="false" ht="15" hidden="false" customHeight="false" outlineLevel="0" collapsed="false">
      <c r="A3" s="5" t="s">
        <v>304</v>
      </c>
      <c r="B3" s="5" t="n">
        <f aca="false">COUNTIF('Plano de Testes'!J2:J47,"Passou")</f>
        <v>0</v>
      </c>
    </row>
    <row r="4" customFormat="false" ht="15" hidden="false" customHeight="false" outlineLevel="0" collapsed="false">
      <c r="A4" s="5" t="s">
        <v>305</v>
      </c>
      <c r="B4" s="5" t="n">
        <f aca="false">COUNTIF('Plano de Testes'!J2:J47,"Falhou")</f>
        <v>0</v>
      </c>
    </row>
    <row r="5" customFormat="false" ht="15" hidden="false" customHeight="false" outlineLevel="0" collapsed="false">
      <c r="A5" s="5" t="s">
        <v>306</v>
      </c>
      <c r="B5" s="5" t="n">
        <f aca="false">COUNTIF('Plano de Testes'!J2:J47,"Bloqueado")</f>
        <v>0</v>
      </c>
    </row>
    <row r="6" customFormat="false" ht="15" hidden="false" customHeight="false" outlineLevel="0" collapsed="false">
      <c r="A6" s="5" t="s">
        <v>307</v>
      </c>
      <c r="B6" s="5" t="n">
        <f aca="false">COUNTIF('Plano de Testes'!J2:J47,"Não testado")</f>
        <v>46</v>
      </c>
    </row>
    <row r="7" customFormat="false" ht="15" hidden="false" customHeight="false" outlineLevel="0" collapsed="false">
      <c r="A7" s="5"/>
      <c r="B7" s="5"/>
    </row>
    <row r="8" customFormat="false" ht="15" hidden="false" customHeight="false" outlineLevel="0" collapsed="false">
      <c r="A8" s="4" t="s">
        <v>308</v>
      </c>
      <c r="B8" s="5"/>
    </row>
    <row r="9" customFormat="false" ht="15" hidden="false" customHeight="false" outlineLevel="0" collapsed="false">
      <c r="A9" s="5" t="s">
        <v>20</v>
      </c>
      <c r="B9" s="5" t="s">
        <v>309</v>
      </c>
    </row>
    <row r="10" customFormat="false" ht="15" hidden="false" customHeight="false" outlineLevel="0" collapsed="false">
      <c r="A10" s="5" t="s">
        <v>310</v>
      </c>
      <c r="B10" s="5" t="s">
        <v>311</v>
      </c>
    </row>
    <row r="11" customFormat="false" ht="15" hidden="false" customHeight="false" outlineLevel="0" collapsed="false">
      <c r="A11" s="5" t="s">
        <v>312</v>
      </c>
      <c r="B11" s="5" t="s">
        <v>313</v>
      </c>
    </row>
    <row r="12" customFormat="false" ht="15" hidden="false" customHeight="false" outlineLevel="0" collapsed="false">
      <c r="A12" s="5" t="s">
        <v>314</v>
      </c>
      <c r="B12" s="5" t="s">
        <v>315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2026-08-26T23:17:16Z</dcterms:created>
  <dc:creator>openpyxl</dc:creator>
  <dc:description/>
  <dc:language>en-US</dc:language>
  <cp:lastModifiedBy/>
  <dcterms:modified xsi:type="dcterms:W3CDTF">2026-08-26T23:17:16Z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