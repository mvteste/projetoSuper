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raes\Documents\GitHub\projetoSuper\"/>
    </mc:Choice>
  </mc:AlternateContent>
  <xr:revisionPtr revIDLastSave="0" documentId="8_{87FB3713-9829-4EE3-B85A-09893941C3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4" r:id="rId1"/>
    <sheet name="Casos_de_Teste" sheetId="1" r:id="rId2"/>
    <sheet name="Registro_de_Bugs" sheetId="2" r:id="rId3"/>
    <sheet name="Dashboard_Executivo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3" l="1"/>
  <c r="Z6" i="3"/>
  <c r="S7" i="3"/>
  <c r="S6" i="3"/>
  <c r="S5" i="3"/>
  <c r="S4" i="3"/>
  <c r="L7" i="3"/>
  <c r="L6" i="3"/>
  <c r="L5" i="3"/>
  <c r="L4" i="3"/>
  <c r="D6" i="3"/>
  <c r="D5" i="3"/>
  <c r="D4" i="3"/>
  <c r="D9" i="3" l="1"/>
</calcChain>
</file>

<file path=xl/sharedStrings.xml><?xml version="1.0" encoding="utf-8"?>
<sst xmlns="http://schemas.openxmlformats.org/spreadsheetml/2006/main" count="192" uniqueCount="108">
  <si>
    <t>README – Planilha de Controle de Qualidade (QA)</t>
  </si>
  <si>
    <t>OBJETIVO:</t>
  </si>
  <si>
    <t>Esta planilha foi desenvolvida para controle e acompanhamento das atividades de testes do sistema web.</t>
  </si>
  <si>
    <t>Permite organização, rastreabilidade e monitoramento da qualidade do software.</t>
  </si>
  <si>
    <t>ABA: Casos_de_Teste</t>
  </si>
  <si>
    <t>ID: Identificador único do caso de teste (Ex: CT-01).</t>
  </si>
  <si>
    <t>Módulo: Parte do sistema testada (Autenticação, Guest, Controle de Acesso, etc).</t>
  </si>
  <si>
    <t>Descrição: Resumo do que está sendo testado.</t>
  </si>
  <si>
    <t>Passos: Etapas para executar o teste.</t>
  </si>
  <si>
    <t>Resultado Esperado: Comportamento correto do sistema.</t>
  </si>
  <si>
    <t>Resultado Obtido: Resultado real observado.</t>
  </si>
  <si>
    <t>Status: Aprovado, Reprovado ou Bloqueado (com cores automáticas).</t>
  </si>
  <si>
    <t>Severidade: Crítica, Alta, Média ou Baixa (com cores automáticas).</t>
  </si>
  <si>
    <t>Responsável: Quem executou o teste.</t>
  </si>
  <si>
    <t>Data Execução: Data da realização do teste.</t>
  </si>
  <si>
    <t>ABA: Registro_de_Bugs</t>
  </si>
  <si>
    <t>ID_Bug: Identificador único do defeito.</t>
  </si>
  <si>
    <t>Descrição: Problema encontrado.</t>
  </si>
  <si>
    <t>Severidade: Impacto do defeito.</t>
  </si>
  <si>
    <t>Status: Aberto, Em Análise, Resolvido ou Fechado.</t>
  </si>
  <si>
    <t>Responsável: Responsável pela correção.</t>
  </si>
  <si>
    <t>Data Abertura: Data do registro do bug.</t>
  </si>
  <si>
    <t>ABA: Dashboard_Executivo</t>
  </si>
  <si>
    <t>Painel visual com total de testes, aprovados, reprovados, bloqueados,</t>
  </si>
  <si>
    <t>taxa de sucesso (%) e gráficos automáticos.</t>
  </si>
  <si>
    <t>ID</t>
  </si>
  <si>
    <t>Módulo</t>
  </si>
  <si>
    <t>Setor</t>
  </si>
  <si>
    <t>Descrição</t>
  </si>
  <si>
    <t>Passos</t>
  </si>
  <si>
    <t>Resultado Esperado</t>
  </si>
  <si>
    <t>Resultado Obtido</t>
  </si>
  <si>
    <t>Status</t>
  </si>
  <si>
    <t>Severidade</t>
  </si>
  <si>
    <t>Responsável</t>
  </si>
  <si>
    <t>CT-001</t>
  </si>
  <si>
    <t>Backend</t>
  </si>
  <si>
    <t>Sucesso</t>
  </si>
  <si>
    <t>Aprovado</t>
  </si>
  <si>
    <t>Crítica</t>
  </si>
  <si>
    <t>Gustavo Moraes</t>
  </si>
  <si>
    <t>CT-002</t>
  </si>
  <si>
    <t>CT-003</t>
  </si>
  <si>
    <t>Média</t>
  </si>
  <si>
    <t>CT-004</t>
  </si>
  <si>
    <t>CT-005</t>
  </si>
  <si>
    <t>CT-006</t>
  </si>
  <si>
    <t>CT-007</t>
  </si>
  <si>
    <t>CT-008</t>
  </si>
  <si>
    <t>CT-009</t>
  </si>
  <si>
    <t>Negativo</t>
  </si>
  <si>
    <t>Baixa</t>
  </si>
  <si>
    <t>Alta</t>
  </si>
  <si>
    <t>Reprovado</t>
  </si>
  <si>
    <t>ID_Bug</t>
  </si>
  <si>
    <t>Data Abertura</t>
  </si>
  <si>
    <t>RB-001</t>
  </si>
  <si>
    <t>Resolvido</t>
  </si>
  <si>
    <t>RB-002</t>
  </si>
  <si>
    <t>RB-003</t>
  </si>
  <si>
    <t>Aberto</t>
  </si>
  <si>
    <t>RB-004</t>
  </si>
  <si>
    <t>RB-005</t>
  </si>
  <si>
    <t>DASHBOARD EXECUTIVO - QA</t>
  </si>
  <si>
    <t>TOTAL DE TESTES</t>
  </si>
  <si>
    <t>Aprovados</t>
  </si>
  <si>
    <t>SEVERIDADE CASOS DE TESTE</t>
  </si>
  <si>
    <t>SEVERIDADE REGISTRO DE BUGS</t>
  </si>
  <si>
    <t>RELAÇÃO REGISTRO DE BUGS ABERTO/RESOLVIDO</t>
  </si>
  <si>
    <t>Reprovados</t>
  </si>
  <si>
    <t>Bloqueados</t>
  </si>
  <si>
    <t>Taxa de Sucesso (%)</t>
  </si>
  <si>
    <t>Tela de Cadastro Clientes</t>
  </si>
  <si>
    <t>Cadastrar novo cliente</t>
  </si>
  <si>
    <t>Preencher formulário de cadastro</t>
  </si>
  <si>
    <t>Sistema Cadastrar o novo cliente no banco.</t>
  </si>
  <si>
    <t>Tela Listar Cadastro Clientes</t>
  </si>
  <si>
    <t>Listar Clientes cadastrados</t>
  </si>
  <si>
    <t>Clicar em listar clientes e procurar pelo nome do cliente</t>
  </si>
  <si>
    <t>Sistema efetuar a busca de todos os clientes com nomes iguais sem sobrenome EX. Gustavo</t>
  </si>
  <si>
    <t>Funcionamento dos botão de ação</t>
  </si>
  <si>
    <t>Clicar nos botões de Pesquisar, Limpar e Excluir Clientes</t>
  </si>
  <si>
    <t>Quando o botão é acionado efetua a função pré definida corrempondente ao seu nome.</t>
  </si>
  <si>
    <t>Nem todos os botões de ação funcionam</t>
  </si>
  <si>
    <t>Tela Cadasto Produtos</t>
  </si>
  <si>
    <t>Cadastrar novo produto</t>
  </si>
  <si>
    <t>Sistema Cadastrar o novo produto no banco.</t>
  </si>
  <si>
    <t>Tela Listar Produtos</t>
  </si>
  <si>
    <t>Listar Produtos cadastrados</t>
  </si>
  <si>
    <t>Clicar em listar produtos e procurar pelo nome do produto.</t>
  </si>
  <si>
    <t>Sistema efetuar a busca de todos os Produtos com o nome pesquisado.</t>
  </si>
  <si>
    <t>Tela Cadastro Fornecedor</t>
  </si>
  <si>
    <t>Cadastrar novo Fornecedor</t>
  </si>
  <si>
    <t>Sistema Cadastrar novo fornecedor no banco.</t>
  </si>
  <si>
    <t>Sistema não está cadastrando novo fornecedor no banco.</t>
  </si>
  <si>
    <t>Tela Listar Fornecedor</t>
  </si>
  <si>
    <t>Listar Fornecedores Cadastrados</t>
  </si>
  <si>
    <t>Clicar em listar fornecedor e procurar pelo nome da empresa.</t>
  </si>
  <si>
    <t>Sistema efetua a busca do fornecedor no banco de dados.</t>
  </si>
  <si>
    <t>Sistema não exclui fornecedor que já está cadastrado.</t>
  </si>
  <si>
    <t>Sistema não excui o produto.</t>
  </si>
  <si>
    <t>Tela Vendas</t>
  </si>
  <si>
    <t>Listar vendas</t>
  </si>
  <si>
    <t>Clicar no menu Vendas e listar as vendas na tela.</t>
  </si>
  <si>
    <t>Sistema faz exatamente como planejado apresentando eme tela as vendas da empresa.</t>
  </si>
  <si>
    <t>Botões de ação</t>
  </si>
  <si>
    <t>Clicar nos botões Pesquisar e Limpar e ambos executarem as ações</t>
  </si>
  <si>
    <t>Sistema executa as ações pré definidas de cada botão.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</si>
</sst>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4"/>
      <color rgb="FF000000"/>
      <name val="Aptos Narrow"/>
      <family val="2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9E2A2B"/>
        <bgColor rgb="FF9E2A2B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9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7" fillId="0" borderId="0" xfId="0" applyFont="1"/>
    <xf numFmtId="0" fontId="5" fillId="0" borderId="0" xfId="0" applyFont="1" applyAlignment="1">
      <alignment horizontal="center" vertical="center" textRotation="180" wrapText="1"/>
    </xf>
    <xf numFmtId="0" fontId="0" fillId="0" borderId="0" xfId="0" applyAlignment="1">
      <alignment horizontal="center" vertical="center" textRotation="180" wrapText="1"/>
    </xf>
  </cellXfs>
  <cellStyles count="1">
    <cellStyle name="Normal" xfId="0" builtinId="0"/>
  </cellStyles>
  <dxfs count="21"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Status dos Testes</a:t>
            </a:r>
          </a:p>
        </c:rich>
      </c:tx>
      <c:layout>
        <c:manualLayout>
          <c:xMode val="edge"/>
          <c:yMode val="edge"/>
          <c:x val="0.3875109259259259"/>
          <c:y val="2.822222222222222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587037037037037E-2"/>
          <c:y val="0.15051851851851852"/>
          <c:w val="0.78092555555555554"/>
          <c:h val="0.7977407407407407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E9-496A-8542-0449931466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E9-496A-8542-0449931466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E9-496A-8542-04499314661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Dashboard_Executivo!$C$4:$C$6</c:f>
              <c:strCache>
                <c:ptCount val="3"/>
                <c:pt idx="0">
                  <c:v>Aprovados</c:v>
                </c:pt>
                <c:pt idx="1">
                  <c:v>Reprovados</c:v>
                </c:pt>
                <c:pt idx="2">
                  <c:v>Bloqueados</c:v>
                </c:pt>
              </c:strCache>
            </c:strRef>
          </c:cat>
          <c:val>
            <c:numRef>
              <c:f>Dashboard_Executivo!$D$4:$D$6</c:f>
              <c:numCache>
                <c:formatCode>General</c:formatCode>
                <c:ptCount val="3"/>
                <c:pt idx="0">
                  <c:v>7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1-46A7-A485-8F9583A887D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SEVERIDADE CASOS DE TESTE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85C-47D2-9692-5395004C4362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5C-47D2-9692-5395004C436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rgbClr val="92D050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5C-47D2-9692-5395004C4362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solidFill>
                  <a:srgbClr val="7030A0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85C-47D2-9692-5395004C436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Dashboard_Executivo!$K$4:$K$7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Média</c:v>
                </c:pt>
                <c:pt idx="3">
                  <c:v>Baixa</c:v>
                </c:pt>
              </c:strCache>
            </c:strRef>
          </c:cat>
          <c:val>
            <c:numRef>
              <c:f>Dashboard_Executivo!$L$4:$L$7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C-47D2-9692-5395004C436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SEVERIDADE REGISTRO DE BUGS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7D-4B00-BAC2-BC3EE42B51FC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E7D-4B00-BAC2-BC3EE42B51F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7D-4B00-BAC2-BC3EE42B51FC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E7D-4B00-BAC2-BC3EE42B51F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Dashboard_Executivo!$R$4:$R$7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Média</c:v>
                </c:pt>
                <c:pt idx="3">
                  <c:v>Baixa</c:v>
                </c:pt>
              </c:strCache>
            </c:strRef>
          </c:cat>
          <c:val>
            <c:numRef>
              <c:f>Dashboard_Executivo!$S$4:$S$7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D-4B00-BAC2-BC3EE42B51F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RELAÇÃO REGISTRO DE BUGS ABERTO/RESOLVIDO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AA-4A2F-8249-878DE9A5F8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AA-4A2F-8249-878DE9A5F8C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Dashboard_Executivo!$Y$5:$Y$6</c:f>
              <c:strCache>
                <c:ptCount val="2"/>
                <c:pt idx="0">
                  <c:v>Aberto</c:v>
                </c:pt>
                <c:pt idx="1">
                  <c:v>Resolvido</c:v>
                </c:pt>
              </c:strCache>
            </c:strRef>
          </c:cat>
          <c:val>
            <c:numRef>
              <c:f>Dashboard_Executivo!$Z$5:$Z$6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A-4A66-88E6-1B17A0D79A1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14</xdr:row>
      <xdr:rowOff>114300</xdr:rowOff>
    </xdr:from>
    <xdr:ext cx="4067175" cy="2219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7</xdr:col>
      <xdr:colOff>581025</xdr:colOff>
      <xdr:row>14</xdr:row>
      <xdr:rowOff>80962</xdr:rowOff>
    </xdr:from>
    <xdr:to>
      <xdr:col>13</xdr:col>
      <xdr:colOff>133350</xdr:colOff>
      <xdr:row>25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DD4F57B-ABD5-5A5A-601E-EB493BC47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9526</xdr:colOff>
      <xdr:row>14</xdr:row>
      <xdr:rowOff>23812</xdr:rowOff>
    </xdr:from>
    <xdr:to>
      <xdr:col>20</xdr:col>
      <xdr:colOff>238125</xdr:colOff>
      <xdr:row>26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F9EABBF-CE80-7A1C-3063-6168D6E9D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9525</xdr:colOff>
      <xdr:row>14</xdr:row>
      <xdr:rowOff>14287</xdr:rowOff>
    </xdr:from>
    <xdr:to>
      <xdr:col>27</xdr:col>
      <xdr:colOff>171450</xdr:colOff>
      <xdr:row>26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8E066F0-1F18-9D33-EE11-E3B100058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0C42-7AB1-4ECD-8190-7C5F4FFD66AB}">
  <dimension ref="A1:E29"/>
  <sheetViews>
    <sheetView workbookViewId="0">
      <selection activeCell="A5" sqref="A5"/>
    </sheetView>
  </sheetViews>
  <sheetFormatPr defaultRowHeight="14.4" x14ac:dyDescent="0.3"/>
  <cols>
    <col min="1" max="1" width="96.88671875" bestFit="1" customWidth="1"/>
  </cols>
  <sheetData>
    <row r="1" spans="1:5" ht="17.399999999999999" x14ac:dyDescent="0.3">
      <c r="A1" s="5" t="s">
        <v>0</v>
      </c>
      <c r="B1" s="6"/>
      <c r="C1" s="6"/>
      <c r="D1" s="6"/>
      <c r="E1" s="6"/>
    </row>
    <row r="2" spans="1:5" x14ac:dyDescent="0.3">
      <c r="A2" s="6"/>
      <c r="B2" s="6"/>
      <c r="C2" s="6"/>
      <c r="D2" s="6"/>
      <c r="E2" s="6"/>
    </row>
    <row r="3" spans="1:5" x14ac:dyDescent="0.3">
      <c r="A3" s="6" t="s">
        <v>1</v>
      </c>
      <c r="B3" s="6"/>
      <c r="C3" s="6"/>
      <c r="D3" s="6"/>
      <c r="E3" s="6"/>
    </row>
    <row r="4" spans="1:5" x14ac:dyDescent="0.3">
      <c r="A4" s="6" t="s">
        <v>2</v>
      </c>
      <c r="B4" s="6"/>
      <c r="C4" s="6"/>
      <c r="D4" s="6"/>
      <c r="E4" s="6"/>
    </row>
    <row r="5" spans="1:5" x14ac:dyDescent="0.3">
      <c r="A5" s="6" t="s">
        <v>3</v>
      </c>
      <c r="B5" s="6"/>
      <c r="C5" s="6"/>
      <c r="D5" s="6"/>
      <c r="E5" s="6"/>
    </row>
    <row r="6" spans="1:5" x14ac:dyDescent="0.3">
      <c r="A6" s="6"/>
      <c r="B6" s="6"/>
      <c r="C6" s="6"/>
      <c r="D6" s="6"/>
      <c r="E6" s="6"/>
    </row>
    <row r="7" spans="1:5" x14ac:dyDescent="0.3">
      <c r="A7" s="6" t="s">
        <v>4</v>
      </c>
      <c r="B7" s="6"/>
      <c r="C7" s="6"/>
      <c r="D7" s="6"/>
      <c r="E7" s="6"/>
    </row>
    <row r="8" spans="1:5" x14ac:dyDescent="0.3">
      <c r="A8" s="6" t="s">
        <v>5</v>
      </c>
      <c r="B8" s="6"/>
      <c r="C8" s="6"/>
      <c r="D8" s="6"/>
      <c r="E8" s="6"/>
    </row>
    <row r="9" spans="1:5" x14ac:dyDescent="0.3">
      <c r="A9" s="6" t="s">
        <v>6</v>
      </c>
      <c r="B9" s="6"/>
      <c r="C9" s="6"/>
      <c r="D9" s="6"/>
      <c r="E9" s="6"/>
    </row>
    <row r="10" spans="1:5" x14ac:dyDescent="0.3">
      <c r="A10" s="6" t="s">
        <v>7</v>
      </c>
      <c r="B10" s="6"/>
      <c r="C10" s="6"/>
      <c r="D10" s="6"/>
      <c r="E10" s="6"/>
    </row>
    <row r="11" spans="1:5" x14ac:dyDescent="0.3">
      <c r="A11" s="6" t="s">
        <v>8</v>
      </c>
      <c r="B11" s="6"/>
      <c r="C11" s="6"/>
      <c r="D11" s="6"/>
      <c r="E11" s="6"/>
    </row>
    <row r="12" spans="1:5" x14ac:dyDescent="0.3">
      <c r="A12" s="6" t="s">
        <v>9</v>
      </c>
      <c r="B12" s="6"/>
      <c r="C12" s="6"/>
      <c r="D12" s="6"/>
      <c r="E12" s="6"/>
    </row>
    <row r="13" spans="1:5" x14ac:dyDescent="0.3">
      <c r="A13" s="6" t="s">
        <v>10</v>
      </c>
      <c r="B13" s="6"/>
      <c r="C13" s="6"/>
      <c r="D13" s="6"/>
      <c r="E13" s="6"/>
    </row>
    <row r="14" spans="1:5" x14ac:dyDescent="0.3">
      <c r="A14" s="6" t="s">
        <v>11</v>
      </c>
      <c r="B14" s="6"/>
      <c r="C14" s="6"/>
      <c r="D14" s="6"/>
      <c r="E14" s="6"/>
    </row>
    <row r="15" spans="1:5" x14ac:dyDescent="0.3">
      <c r="A15" s="6" t="s">
        <v>12</v>
      </c>
      <c r="B15" s="6"/>
      <c r="C15" s="6"/>
      <c r="D15" s="6"/>
      <c r="E15" s="6"/>
    </row>
    <row r="16" spans="1:5" x14ac:dyDescent="0.3">
      <c r="A16" s="6" t="s">
        <v>13</v>
      </c>
      <c r="B16" s="6"/>
      <c r="C16" s="6"/>
      <c r="D16" s="6"/>
      <c r="E16" s="6"/>
    </row>
    <row r="17" spans="1:5" x14ac:dyDescent="0.3">
      <c r="A17" s="6" t="s">
        <v>14</v>
      </c>
      <c r="B17" s="6"/>
      <c r="C17" s="6"/>
      <c r="D17" s="6"/>
      <c r="E17" s="6"/>
    </row>
    <row r="18" spans="1:5" x14ac:dyDescent="0.3">
      <c r="A18" s="6"/>
      <c r="B18" s="6"/>
      <c r="C18" s="6"/>
      <c r="D18" s="6"/>
      <c r="E18" s="6"/>
    </row>
    <row r="19" spans="1:5" x14ac:dyDescent="0.3">
      <c r="A19" s="6" t="s">
        <v>15</v>
      </c>
      <c r="B19" s="6"/>
      <c r="C19" s="6"/>
      <c r="D19" s="6"/>
      <c r="E19" s="6"/>
    </row>
    <row r="20" spans="1:5" x14ac:dyDescent="0.3">
      <c r="A20" s="6" t="s">
        <v>16</v>
      </c>
      <c r="B20" s="6"/>
      <c r="C20" s="6"/>
      <c r="D20" s="6"/>
      <c r="E20" s="6"/>
    </row>
    <row r="21" spans="1:5" x14ac:dyDescent="0.3">
      <c r="A21" s="6" t="s">
        <v>17</v>
      </c>
      <c r="B21" s="6"/>
      <c r="C21" s="6"/>
      <c r="D21" s="6"/>
      <c r="E21" s="6"/>
    </row>
    <row r="22" spans="1:5" x14ac:dyDescent="0.3">
      <c r="A22" s="6" t="s">
        <v>18</v>
      </c>
      <c r="B22" s="6"/>
      <c r="C22" s="6"/>
      <c r="D22" s="6"/>
      <c r="E22" s="6"/>
    </row>
    <row r="23" spans="1:5" x14ac:dyDescent="0.3">
      <c r="A23" s="6" t="s">
        <v>19</v>
      </c>
      <c r="B23" s="6"/>
      <c r="C23" s="6"/>
      <c r="D23" s="6"/>
      <c r="E23" s="6"/>
    </row>
    <row r="24" spans="1:5" x14ac:dyDescent="0.3">
      <c r="A24" s="6" t="s">
        <v>20</v>
      </c>
      <c r="B24" s="6"/>
      <c r="C24" s="6"/>
      <c r="D24" s="6"/>
      <c r="E24" s="6"/>
    </row>
    <row r="25" spans="1:5" x14ac:dyDescent="0.3">
      <c r="A25" s="6" t="s">
        <v>21</v>
      </c>
      <c r="B25" s="6"/>
      <c r="C25" s="6"/>
      <c r="D25" s="6"/>
      <c r="E25" s="6"/>
    </row>
    <row r="26" spans="1:5" x14ac:dyDescent="0.3">
      <c r="A26" s="6"/>
      <c r="B26" s="6"/>
      <c r="C26" s="6"/>
      <c r="D26" s="6"/>
      <c r="E26" s="6"/>
    </row>
    <row r="27" spans="1:5" x14ac:dyDescent="0.3">
      <c r="A27" s="6" t="s">
        <v>22</v>
      </c>
      <c r="B27" s="6"/>
      <c r="C27" s="6"/>
      <c r="D27" s="6"/>
      <c r="E27" s="6"/>
    </row>
    <row r="28" spans="1:5" x14ac:dyDescent="0.3">
      <c r="A28" s="6" t="s">
        <v>23</v>
      </c>
      <c r="B28" s="6"/>
      <c r="C28" s="6"/>
      <c r="D28" s="6"/>
      <c r="E28" s="6"/>
    </row>
    <row r="29" spans="1:5" x14ac:dyDescent="0.3">
      <c r="A29" s="6" t="s">
        <v>24</v>
      </c>
      <c r="B29" s="6"/>
      <c r="C29" s="6"/>
      <c r="D29" s="6"/>
      <c r="E29" s="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J9" sqref="J9:J10"/>
    </sheetView>
  </sheetViews>
  <sheetFormatPr defaultRowHeight="14.4" x14ac:dyDescent="0.3"/>
  <cols>
    <col min="1" max="1" width="6.88671875" bestFit="1" customWidth="1"/>
    <col min="2" max="2" width="35.5546875" bestFit="1" customWidth="1"/>
    <col min="3" max="3" width="9.109375" bestFit="1" customWidth="1"/>
    <col min="4" max="4" width="34.44140625" bestFit="1" customWidth="1"/>
    <col min="5" max="5" width="73.33203125" customWidth="1"/>
    <col min="6" max="6" width="95.6640625" customWidth="1"/>
    <col min="7" max="7" width="16.5546875" bestFit="1" customWidth="1"/>
    <col min="8" max="8" width="10.5546875" bestFit="1" customWidth="1"/>
    <col min="9" max="9" width="11" bestFit="1" customWidth="1"/>
    <col min="10" max="10" width="15.33203125" bestFit="1" customWidth="1"/>
  </cols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3" x14ac:dyDescent="0.3">
      <c r="A2" t="s">
        <v>35</v>
      </c>
      <c r="B2" t="s">
        <v>72</v>
      </c>
      <c r="C2" t="s">
        <v>36</v>
      </c>
      <c r="D2" t="s">
        <v>73</v>
      </c>
      <c r="E2" t="s">
        <v>74</v>
      </c>
      <c r="F2" t="s">
        <v>75</v>
      </c>
      <c r="G2" t="s">
        <v>37</v>
      </c>
      <c r="H2" t="s">
        <v>38</v>
      </c>
      <c r="I2" t="s">
        <v>52</v>
      </c>
      <c r="J2" t="s">
        <v>40</v>
      </c>
    </row>
    <row r="3" spans="1:13" x14ac:dyDescent="0.3">
      <c r="A3" t="s">
        <v>41</v>
      </c>
      <c r="B3" t="s">
        <v>76</v>
      </c>
      <c r="C3" t="s">
        <v>36</v>
      </c>
      <c r="D3" t="s">
        <v>77</v>
      </c>
      <c r="E3" t="s">
        <v>78</v>
      </c>
      <c r="F3" t="s">
        <v>79</v>
      </c>
      <c r="G3" t="s">
        <v>37</v>
      </c>
      <c r="H3" s="7" t="s">
        <v>38</v>
      </c>
      <c r="I3" s="7" t="s">
        <v>52</v>
      </c>
      <c r="J3" t="s">
        <v>40</v>
      </c>
    </row>
    <row r="4" spans="1:13" x14ac:dyDescent="0.3">
      <c r="A4" t="s">
        <v>42</v>
      </c>
      <c r="B4" t="s">
        <v>76</v>
      </c>
      <c r="C4" t="s">
        <v>36</v>
      </c>
      <c r="D4" t="s">
        <v>80</v>
      </c>
      <c r="E4" t="s">
        <v>81</v>
      </c>
      <c r="F4" t="s">
        <v>82</v>
      </c>
      <c r="G4" t="s">
        <v>50</v>
      </c>
      <c r="H4" t="s">
        <v>53</v>
      </c>
      <c r="I4" t="s">
        <v>39</v>
      </c>
      <c r="J4" t="s">
        <v>40</v>
      </c>
    </row>
    <row r="5" spans="1:13" x14ac:dyDescent="0.3">
      <c r="A5" t="s">
        <v>44</v>
      </c>
      <c r="B5" t="s">
        <v>84</v>
      </c>
      <c r="C5" t="s">
        <v>36</v>
      </c>
      <c r="D5" t="s">
        <v>85</v>
      </c>
      <c r="E5" t="s">
        <v>74</v>
      </c>
      <c r="F5" t="s">
        <v>86</v>
      </c>
      <c r="G5" t="s">
        <v>37</v>
      </c>
      <c r="H5" t="s">
        <v>38</v>
      </c>
      <c r="I5" t="s">
        <v>39</v>
      </c>
      <c r="J5" t="s">
        <v>40</v>
      </c>
    </row>
    <row r="6" spans="1:13" x14ac:dyDescent="0.3">
      <c r="A6" t="s">
        <v>45</v>
      </c>
      <c r="B6" t="s">
        <v>87</v>
      </c>
      <c r="C6" t="s">
        <v>36</v>
      </c>
      <c r="D6" t="s">
        <v>88</v>
      </c>
      <c r="E6" t="s">
        <v>89</v>
      </c>
      <c r="F6" t="s">
        <v>90</v>
      </c>
      <c r="G6" t="s">
        <v>37</v>
      </c>
      <c r="H6" t="s">
        <v>38</v>
      </c>
      <c r="I6" t="s">
        <v>52</v>
      </c>
      <c r="J6" t="s">
        <v>40</v>
      </c>
    </row>
    <row r="7" spans="1:13" x14ac:dyDescent="0.3">
      <c r="A7" t="s">
        <v>46</v>
      </c>
      <c r="B7" t="s">
        <v>91</v>
      </c>
      <c r="C7" t="s">
        <v>36</v>
      </c>
      <c r="D7" t="s">
        <v>92</v>
      </c>
      <c r="E7" t="s">
        <v>74</v>
      </c>
      <c r="F7" t="s">
        <v>93</v>
      </c>
      <c r="G7" t="s">
        <v>50</v>
      </c>
      <c r="H7" t="s">
        <v>53</v>
      </c>
      <c r="I7" t="s">
        <v>39</v>
      </c>
      <c r="J7" t="s">
        <v>40</v>
      </c>
    </row>
    <row r="8" spans="1:13" x14ac:dyDescent="0.3">
      <c r="A8" t="s">
        <v>47</v>
      </c>
      <c r="B8" t="s">
        <v>95</v>
      </c>
      <c r="C8" t="s">
        <v>36</v>
      </c>
      <c r="D8" t="s">
        <v>96</v>
      </c>
      <c r="E8" t="s">
        <v>97</v>
      </c>
      <c r="F8" t="s">
        <v>98</v>
      </c>
      <c r="G8" t="s">
        <v>37</v>
      </c>
      <c r="H8" t="s">
        <v>38</v>
      </c>
      <c r="I8" t="s">
        <v>43</v>
      </c>
      <c r="J8" t="s">
        <v>40</v>
      </c>
    </row>
    <row r="9" spans="1:13" x14ac:dyDescent="0.3">
      <c r="A9" t="s">
        <v>48</v>
      </c>
      <c r="B9" t="s">
        <v>101</v>
      </c>
      <c r="C9" t="s">
        <v>36</v>
      </c>
      <c r="D9" t="s">
        <v>102</v>
      </c>
      <c r="E9" t="s">
        <v>103</v>
      </c>
      <c r="F9" t="s">
        <v>104</v>
      </c>
      <c r="G9" t="s">
        <v>37</v>
      </c>
      <c r="H9" t="s">
        <v>38</v>
      </c>
      <c r="I9" t="s">
        <v>51</v>
      </c>
      <c r="J9" t="s">
        <v>40</v>
      </c>
    </row>
    <row r="10" spans="1:13" x14ac:dyDescent="0.3">
      <c r="A10" t="s">
        <v>49</v>
      </c>
      <c r="B10" t="s">
        <v>101</v>
      </c>
      <c r="C10" t="s">
        <v>36</v>
      </c>
      <c r="D10" t="s">
        <v>105</v>
      </c>
      <c r="E10" t="s">
        <v>106</v>
      </c>
      <c r="F10" t="s">
        <v>107</v>
      </c>
      <c r="G10" t="s">
        <v>37</v>
      </c>
      <c r="H10" t="s">
        <v>38</v>
      </c>
      <c r="I10" t="s">
        <v>51</v>
      </c>
      <c r="J10" t="s">
        <v>40</v>
      </c>
    </row>
    <row r="13" spans="1:13" x14ac:dyDescent="0.3">
      <c r="M13" s="16"/>
    </row>
  </sheetData>
  <phoneticPr fontId="6" type="noConversion"/>
  <conditionalFormatting sqref="H2:H300">
    <cfRule type="expression" dxfId="20" priority="11">
      <formula>$H2="Aprovado"</formula>
    </cfRule>
    <cfRule type="expression" dxfId="19" priority="12">
      <formula>$H2="Reprovado"</formula>
    </cfRule>
    <cfRule type="expression" dxfId="18" priority="13">
      <formula>$H2="Bloqueado"</formula>
    </cfRule>
  </conditionalFormatting>
  <conditionalFormatting sqref="I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7 J2:J35">
    <cfRule type="cellIs" dxfId="17" priority="1" operator="equal">
      <formula>"Baixa"</formula>
    </cfRule>
    <cfRule type="cellIs" dxfId="16" priority="2" operator="equal">
      <formula>"Média"</formula>
    </cfRule>
    <cfRule type="cellIs" dxfId="15" priority="3" operator="equal">
      <formula>"Alta"</formula>
    </cfRule>
    <cfRule type="cellIs" dxfId="14" priority="4" operator="equal">
      <formula>"Crítica"</formula>
    </cfRule>
  </conditionalFormatting>
  <dataValidations count="2">
    <dataValidation type="list" allowBlank="1" sqref="H2:H300" xr:uid="{00000000-0002-0000-0000-000000000000}">
      <formula1>"Aprovado,Reprovado,Bloqueado"</formula1>
    </dataValidation>
    <dataValidation type="list" allowBlank="1" sqref="I2:I300" xr:uid="{00000000-0002-0000-0000-000001000000}">
      <formula1>"Crítica,Alta,Média,Baixa"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A5" sqref="A5:A6"/>
    </sheetView>
  </sheetViews>
  <sheetFormatPr defaultRowHeight="14.4" x14ac:dyDescent="0.3"/>
  <cols>
    <col min="1" max="1" width="7.109375" bestFit="1" customWidth="1"/>
    <col min="2" max="2" width="26.5546875" bestFit="1" customWidth="1"/>
    <col min="3" max="3" width="8.44140625" bestFit="1" customWidth="1"/>
    <col min="4" max="4" width="86" bestFit="1" customWidth="1"/>
    <col min="5" max="5" width="11" bestFit="1" customWidth="1"/>
    <col min="6" max="6" width="9.6640625" bestFit="1" customWidth="1"/>
    <col min="7" max="7" width="15.33203125" bestFit="1" customWidth="1"/>
    <col min="8" max="8" width="13.44140625" style="9" bestFit="1" customWidth="1"/>
  </cols>
  <sheetData>
    <row r="1" spans="1:8" x14ac:dyDescent="0.3">
      <c r="A1" s="2" t="s">
        <v>54</v>
      </c>
      <c r="B1" s="2" t="s">
        <v>26</v>
      </c>
      <c r="C1" s="2" t="s">
        <v>27</v>
      </c>
      <c r="D1" s="2" t="s">
        <v>28</v>
      </c>
      <c r="E1" s="2" t="s">
        <v>33</v>
      </c>
      <c r="F1" s="2" t="s">
        <v>32</v>
      </c>
      <c r="G1" s="2" t="s">
        <v>34</v>
      </c>
      <c r="H1" s="10" t="s">
        <v>55</v>
      </c>
    </row>
    <row r="2" spans="1:8" x14ac:dyDescent="0.3">
      <c r="A2" t="s">
        <v>56</v>
      </c>
      <c r="B2" t="s">
        <v>76</v>
      </c>
      <c r="C2" t="s">
        <v>36</v>
      </c>
      <c r="D2" t="s">
        <v>83</v>
      </c>
      <c r="E2" t="s">
        <v>52</v>
      </c>
      <c r="F2" t="s">
        <v>60</v>
      </c>
      <c r="G2" t="s">
        <v>40</v>
      </c>
      <c r="H2" s="8">
        <v>46260</v>
      </c>
    </row>
    <row r="3" spans="1:8" x14ac:dyDescent="0.3">
      <c r="A3" t="s">
        <v>58</v>
      </c>
      <c r="B3" t="s">
        <v>91</v>
      </c>
      <c r="C3" t="s">
        <v>36</v>
      </c>
      <c r="D3" t="s">
        <v>94</v>
      </c>
      <c r="E3" t="s">
        <v>39</v>
      </c>
      <c r="F3" t="s">
        <v>60</v>
      </c>
      <c r="G3" t="s">
        <v>40</v>
      </c>
      <c r="H3" s="8">
        <v>46261</v>
      </c>
    </row>
    <row r="4" spans="1:8" x14ac:dyDescent="0.3">
      <c r="A4" t="s">
        <v>59</v>
      </c>
      <c r="B4" t="s">
        <v>95</v>
      </c>
      <c r="C4" t="s">
        <v>36</v>
      </c>
      <c r="D4" t="s">
        <v>99</v>
      </c>
      <c r="E4" t="s">
        <v>52</v>
      </c>
      <c r="F4" t="s">
        <v>60</v>
      </c>
      <c r="G4" t="s">
        <v>40</v>
      </c>
      <c r="H4" s="8">
        <v>46262</v>
      </c>
    </row>
    <row r="5" spans="1:8" x14ac:dyDescent="0.3">
      <c r="A5" t="s">
        <v>61</v>
      </c>
      <c r="B5" t="s">
        <v>87</v>
      </c>
      <c r="C5" t="s">
        <v>36</v>
      </c>
      <c r="D5" t="s">
        <v>100</v>
      </c>
      <c r="E5" t="s">
        <v>52</v>
      </c>
      <c r="F5" t="s">
        <v>60</v>
      </c>
      <c r="G5" t="s">
        <v>40</v>
      </c>
      <c r="H5" s="8">
        <v>46263</v>
      </c>
    </row>
    <row r="6" spans="1:8" x14ac:dyDescent="0.3">
      <c r="A6" t="s">
        <v>62</v>
      </c>
      <c r="G6" t="s">
        <v>40</v>
      </c>
      <c r="H6" s="8"/>
    </row>
    <row r="7" spans="1:8" x14ac:dyDescent="0.3">
      <c r="G7" t="s">
        <v>40</v>
      </c>
      <c r="H7" s="8"/>
    </row>
    <row r="8" spans="1:8" x14ac:dyDescent="0.3">
      <c r="G8" t="s">
        <v>40</v>
      </c>
      <c r="H8" s="8"/>
    </row>
    <row r="9" spans="1:8" x14ac:dyDescent="0.3">
      <c r="G9" t="s">
        <v>40</v>
      </c>
      <c r="H9" s="8"/>
    </row>
    <row r="10" spans="1:8" x14ac:dyDescent="0.3">
      <c r="G10" t="s">
        <v>40</v>
      </c>
      <c r="H10" s="8"/>
    </row>
    <row r="11" spans="1:8" x14ac:dyDescent="0.3">
      <c r="G11" t="s">
        <v>40</v>
      </c>
      <c r="H11" s="8"/>
    </row>
    <row r="12" spans="1:8" x14ac:dyDescent="0.3">
      <c r="G12" t="s">
        <v>40</v>
      </c>
      <c r="H12" s="8"/>
    </row>
    <row r="13" spans="1:8" x14ac:dyDescent="0.3">
      <c r="G13" t="s">
        <v>40</v>
      </c>
      <c r="H13" s="8"/>
    </row>
    <row r="14" spans="1:8" x14ac:dyDescent="0.3">
      <c r="G14" t="s">
        <v>40</v>
      </c>
      <c r="H14" s="8"/>
    </row>
    <row r="15" spans="1:8" x14ac:dyDescent="0.3">
      <c r="G15" t="s">
        <v>40</v>
      </c>
      <c r="H15" s="8"/>
    </row>
    <row r="16" spans="1:8" x14ac:dyDescent="0.3">
      <c r="G16" t="s">
        <v>40</v>
      </c>
      <c r="H16" s="8"/>
    </row>
  </sheetData>
  <phoneticPr fontId="6" type="noConversion"/>
  <conditionalFormatting sqref="E2:E474 F8:F16 F3:F5">
    <cfRule type="cellIs" dxfId="13" priority="1" operator="equal">
      <formula>"Crítica"</formula>
    </cfRule>
    <cfRule type="cellIs" dxfId="12" priority="2" operator="equal">
      <formula>"Baixa"</formula>
    </cfRule>
    <cfRule type="cellIs" dxfId="11" priority="3" operator="equal">
      <formula>"Média"</formula>
    </cfRule>
    <cfRule type="cellIs" dxfId="10" priority="4" operator="equal">
      <formula>"Alta"</formula>
    </cfRule>
  </conditionalFormatting>
  <dataValidations count="2">
    <dataValidation type="list" allowBlank="1" sqref="F2:F300" xr:uid="{00000000-0002-0000-0100-000000000000}">
      <formula1>"Aberto,Em Análise,Resolvido,Fechado"</formula1>
    </dataValidation>
    <dataValidation type="list" allowBlank="1" sqref="E2:E300" xr:uid="{00000000-0002-0000-0100-000001000000}">
      <formula1>"Crítica,Alta,Média,Baixa"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"/>
  <sheetViews>
    <sheetView workbookViewId="0">
      <selection activeCell="A11" sqref="A11"/>
    </sheetView>
  </sheetViews>
  <sheetFormatPr defaultRowHeight="14.4" x14ac:dyDescent="0.3"/>
  <cols>
    <col min="1" max="1" width="8.6640625" customWidth="1"/>
    <col min="2" max="2" width="9.88671875" customWidth="1"/>
    <col min="22" max="22" width="9.109375" customWidth="1"/>
  </cols>
  <sheetData>
    <row r="1" spans="1:26" ht="21" x14ac:dyDescent="0.4">
      <c r="A1" s="3" t="s">
        <v>63</v>
      </c>
    </row>
    <row r="3" spans="1:26" ht="15" customHeight="1" x14ac:dyDescent="0.3"/>
    <row r="4" spans="1:26" x14ac:dyDescent="0.3">
      <c r="B4" s="17" t="s">
        <v>64</v>
      </c>
      <c r="C4" s="13" t="s">
        <v>65</v>
      </c>
      <c r="D4" s="13">
        <f>COUNTIF(Casos_de_Teste!H2:H300,"Aprovado")</f>
        <v>7</v>
      </c>
      <c r="J4" s="17" t="s">
        <v>66</v>
      </c>
      <c r="K4" t="s">
        <v>39</v>
      </c>
      <c r="L4">
        <f>COUNTIF(Casos_de_Teste!I2:I300,"Crítica")</f>
        <v>3</v>
      </c>
      <c r="Q4" s="17" t="s">
        <v>67</v>
      </c>
      <c r="R4" t="s">
        <v>39</v>
      </c>
      <c r="S4">
        <f>COUNTIF(Registro_de_Bugs!E2:E300,"Crítica")</f>
        <v>1</v>
      </c>
      <c r="X4" s="17" t="s">
        <v>68</v>
      </c>
    </row>
    <row r="5" spans="1:26" x14ac:dyDescent="0.3">
      <c r="B5" s="18"/>
      <c r="C5" s="12" t="s">
        <v>69</v>
      </c>
      <c r="D5" s="12">
        <f>COUNTIF(Casos_de_Teste!H2:H300,"Reprovado")</f>
        <v>2</v>
      </c>
      <c r="J5" s="17"/>
      <c r="K5" s="11" t="s">
        <v>52</v>
      </c>
      <c r="L5">
        <f>COUNTIF(Casos_de_Teste!I2:I300,"Alta")</f>
        <v>3</v>
      </c>
      <c r="Q5" s="17"/>
      <c r="R5" s="11" t="s">
        <v>52</v>
      </c>
      <c r="S5">
        <f>COUNTIF(Registro_de_Bugs!E2:E300,"Alta")</f>
        <v>3</v>
      </c>
      <c r="X5" s="17"/>
      <c r="Y5" s="15" t="s">
        <v>60</v>
      </c>
      <c r="Z5">
        <f>COUNTIF(Registro_de_Bugs!F2:F300,"Aberto")</f>
        <v>4</v>
      </c>
    </row>
    <row r="6" spans="1:26" x14ac:dyDescent="0.3">
      <c r="B6" s="18"/>
      <c r="C6" s="14" t="s">
        <v>70</v>
      </c>
      <c r="D6" s="14">
        <f>COUNTIF(Casos_de_Teste!H2:H300,"Bloqueado")</f>
        <v>0</v>
      </c>
      <c r="J6" s="17"/>
      <c r="K6" t="s">
        <v>43</v>
      </c>
      <c r="L6">
        <f>COUNTIF(Casos_de_Teste!I2:I300,"Média")</f>
        <v>1</v>
      </c>
      <c r="Q6" s="17"/>
      <c r="R6" t="s">
        <v>43</v>
      </c>
      <c r="S6">
        <f>COUNTIF(Registro_de_Bugs!E2:E300,"Média")</f>
        <v>0</v>
      </c>
      <c r="X6" s="17"/>
      <c r="Y6" s="11" t="s">
        <v>57</v>
      </c>
      <c r="Z6">
        <f>COUNTIF(Registro_de_Bugs!F2:F300,"Resolvido")</f>
        <v>0</v>
      </c>
    </row>
    <row r="7" spans="1:26" x14ac:dyDescent="0.3">
      <c r="J7" s="17"/>
      <c r="K7" t="s">
        <v>51</v>
      </c>
      <c r="L7">
        <f>COUNTIF(Casos_de_Teste!I2:I300,"Baixa")</f>
        <v>2</v>
      </c>
      <c r="Q7" s="17"/>
      <c r="R7" t="s">
        <v>51</v>
      </c>
      <c r="S7">
        <f>COUNTIF(Registro_de_Bugs!E2:E300,"Baixa")</f>
        <v>0</v>
      </c>
      <c r="X7" s="17"/>
    </row>
    <row r="9" spans="1:26" x14ac:dyDescent="0.3">
      <c r="C9" t="s">
        <v>71</v>
      </c>
      <c r="D9" s="4">
        <f>IF(D3=0,0,D4/D3)</f>
        <v>0</v>
      </c>
    </row>
  </sheetData>
  <mergeCells count="4">
    <mergeCell ref="J4:J7"/>
    <mergeCell ref="Q4:Q7"/>
    <mergeCell ref="X4:X7"/>
    <mergeCell ref="B4:B6"/>
  </mergeCells>
  <conditionalFormatting sqref="K4">
    <cfRule type="cellIs" dxfId="9" priority="13" operator="equal">
      <formula>"Crítica"</formula>
    </cfRule>
  </conditionalFormatting>
  <conditionalFormatting sqref="K5">
    <cfRule type="cellIs" dxfId="8" priority="12" operator="equal">
      <formula>"Alta"</formula>
    </cfRule>
  </conditionalFormatting>
  <conditionalFormatting sqref="K6">
    <cfRule type="cellIs" dxfId="7" priority="9" operator="equal">
      <formula>"Média"</formula>
    </cfRule>
  </conditionalFormatting>
  <conditionalFormatting sqref="K7">
    <cfRule type="cellIs" dxfId="6" priority="10" operator="equal">
      <formula>"Baixa"</formula>
    </cfRule>
  </conditionalFormatting>
  <conditionalFormatting sqref="R4">
    <cfRule type="cellIs" dxfId="5" priority="8" operator="equal">
      <formula>"Crítica"</formula>
    </cfRule>
  </conditionalFormatting>
  <conditionalFormatting sqref="R5">
    <cfRule type="cellIs" dxfId="4" priority="7" operator="equal">
      <formula>"Alta"</formula>
    </cfRule>
  </conditionalFormatting>
  <conditionalFormatting sqref="R6">
    <cfRule type="cellIs" dxfId="3" priority="5" operator="equal">
      <formula>"Média"</formula>
    </cfRule>
  </conditionalFormatting>
  <conditionalFormatting sqref="R7">
    <cfRule type="cellIs" dxfId="2" priority="6" operator="equal">
      <formula>"Baixa"</formula>
    </cfRule>
  </conditionalFormatting>
  <conditionalFormatting sqref="Y5">
    <cfRule type="cellIs" dxfId="1" priority="3" operator="equal">
      <formula>"Alta"</formula>
    </cfRule>
  </conditionalFormatting>
  <conditionalFormatting sqref="Y6">
    <cfRule type="cellIs" dxfId="0" priority="1" operator="equal">
      <formula>"Média"</formula>
    </cfRule>
  </conditionalFormatting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29C552BDF66F45966476ABFFA6AAD0" ma:contentTypeVersion="10" ma:contentTypeDescription="Crie um novo documento." ma:contentTypeScope="" ma:versionID="e0cb47466826d957e9207f98ff27afe4">
  <xsd:schema xmlns:xsd="http://www.w3.org/2001/XMLSchema" xmlns:xs="http://www.w3.org/2001/XMLSchema" xmlns:p="http://schemas.microsoft.com/office/2006/metadata/properties" xmlns:ns3="b63cca77-7a35-470c-a4c9-addf4746274c" targetNamespace="http://schemas.microsoft.com/office/2006/metadata/properties" ma:root="true" ma:fieldsID="221e56f10ce928c9a6944f08e1eca367" ns3:_="">
    <xsd:import namespace="b63cca77-7a35-470c-a4c9-addf474627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cca77-7a35-470c-a4c9-addf474627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3cca77-7a35-470c-a4c9-addf4746274c" xsi:nil="true"/>
  </documentManagement>
</p:properties>
</file>

<file path=customXml/itemProps1.xml><?xml version="1.0" encoding="utf-8"?>
<ds:datastoreItem xmlns:ds="http://schemas.openxmlformats.org/officeDocument/2006/customXml" ds:itemID="{DC4EC883-30A0-4780-8CDB-789BE393FA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3cca77-7a35-470c-a4c9-addf474627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7BCB58-DA01-4B2E-9062-9E41041BE8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75B0CC-66B0-4622-8B04-D05E1781E56E}">
  <ds:schemaRefs>
    <ds:schemaRef ds:uri="b63cca77-7a35-470c-a4c9-addf4746274c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README</vt:lpstr>
      <vt:lpstr>Casos_de_Teste</vt:lpstr>
      <vt:lpstr>Registro_de_Bugs</vt:lpstr>
      <vt:lpstr>Dashboard_Executivo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GUSTAVO SCALEI MORAES</cp:lastModifiedBy>
  <cp:revision/>
  <dcterms:created xsi:type="dcterms:W3CDTF">2026-02-23T22:49:50Z</dcterms:created>
  <dcterms:modified xsi:type="dcterms:W3CDTF">2026-08-27T00:38:50Z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0x010100D729C552BDF66F45966476ABFFA6AAD0</vt:lpwstr>
  </property>
</Properties>
</file>